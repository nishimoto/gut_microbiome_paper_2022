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t_microbiome" sheetId="1" r:id="rId4"/>
  </sheets>
  <definedNames/>
  <calcPr/>
</workbook>
</file>

<file path=xl/sharedStrings.xml><?xml version="1.0" encoding="utf-8"?>
<sst xmlns="http://schemas.openxmlformats.org/spreadsheetml/2006/main" count="405" uniqueCount="376">
  <si>
    <t>Author</t>
  </si>
  <si>
    <t>Title</t>
  </si>
  <si>
    <t>Citations</t>
  </si>
  <si>
    <t>Year</t>
  </si>
  <si>
    <t>Venue</t>
  </si>
  <si>
    <t>Source</t>
  </si>
  <si>
    <t>cit/year</t>
  </si>
  <si>
    <t xml:space="preserve"> David, CF Maurice, RN Carmody, DB Gootenberg…</t>
  </si>
  <si>
    <t>Diet rapidly and reproducibly alters the human gut microbiome</t>
  </si>
  <si>
    <t>Nature</t>
  </si>
  <si>
    <t>https://www.nature.com/articles/nature12820?source=p5814</t>
  </si>
  <si>
    <t xml:space="preserve"> Turnbaugh, RE Ley, MA Mahowald, V Magrini…</t>
  </si>
  <si>
    <t>An obesity-associated gut microbiome with increased capacity for energy harvest</t>
  </si>
  <si>
    <t>nature</t>
  </si>
  <si>
    <t>https://www.nature.com/articles/nature05414/?source=post_elevate_sequence_page---------------------------</t>
  </si>
  <si>
    <t>Yatsunenko, FE Rey, MJ Manary, I Trehan…</t>
  </si>
  <si>
    <t>Human gut microbiome viewed across age and geography</t>
  </si>
  <si>
    <t>https://www.nature.com/articles/nature11053</t>
  </si>
  <si>
    <t xml:space="preserve"> Turnbaugh, M Hamady, T Yatsunenko, BL Cantarel…</t>
  </si>
  <si>
    <t>A core gut microbiome in obese and lean twins</t>
  </si>
  <si>
    <t>https://www.nature.com/articles/nature07540?s?s%3Fs%3Fs%3Fs</t>
  </si>
  <si>
    <t>Arumugam, J Raes, E Pelletier, D Le Paslier…</t>
  </si>
  <si>
    <t>Enterotypes of the human gut microbiome</t>
  </si>
  <si>
    <t>https://www.nature.com/articles/nature09944/amp/</t>
  </si>
  <si>
    <t>Bäckhed, J Roswall, Y Peng, Q Feng, H Jia…</t>
  </si>
  <si>
    <t>Dynamics and stabilization of the human gut microbiome during the first year of life</t>
  </si>
  <si>
    <t>Cell host &amp; …</t>
  </si>
  <si>
    <t>https://www.sciencedirect.com/science/article/pii/S1931312815001626</t>
  </si>
  <si>
    <t xml:space="preserve"> Gill, M Pop, RT DeBoy, PB Eckburg, PJ Turnbaugh…</t>
  </si>
  <si>
    <t>Metagenomic analysis of the human distal gut microbiome</t>
  </si>
  <si>
    <t>science</t>
  </si>
  <si>
    <t>https://www.science.org/doi/abs/10.1126/science.1124234</t>
  </si>
  <si>
    <t xml:space="preserve"> Goodrich, JL Waters, AC Poole, JL Sutter, O Koren…</t>
  </si>
  <si>
    <t>Human genetics shape the gut microbiome</t>
  </si>
  <si>
    <t>Cell</t>
  </si>
  <si>
    <t>https://www.sciencedirect.com/science/article/pii/S0092867414012410</t>
  </si>
  <si>
    <t>Falony, M Joossens, S Vieir</t>
  </si>
  <si>
    <t>Population-level analysis of gut microbiome variation</t>
  </si>
  <si>
    <t>Science</t>
  </si>
  <si>
    <t>https://www.science.org/doi/abs/10.1126/science.aad3503</t>
  </si>
  <si>
    <t xml:space="preserve"> Kau, PP Ahern, NW Griffin, AL Goodman, JI Gordon</t>
  </si>
  <si>
    <t>Human nutrition, the gut microbiome and the immune system</t>
  </si>
  <si>
    <t>https://www.nature.com/articles/nature10213</t>
  </si>
  <si>
    <t xml:space="preserve"> Franzosa, A Sirot</t>
  </si>
  <si>
    <t>Gut microbiome structure and metabolic activity in inflammatory bowel disease</t>
  </si>
  <si>
    <t>Nature …</t>
  </si>
  <si>
    <t>https://www.nature.com/articles/s41564-018-0306-4</t>
  </si>
  <si>
    <t>Cani</t>
  </si>
  <si>
    <t>Human gut microbiome: hopes, threats and promises</t>
  </si>
  <si>
    <t>Gut</t>
  </si>
  <si>
    <t>https://gut.bmj.com/content/67/9/1716?aff=68</t>
  </si>
  <si>
    <t xml:space="preserve"> Vogt, RL Kerby, KA Dil</t>
  </si>
  <si>
    <t>Gut microbiome alterations in Alzheimer's disease</t>
  </si>
  <si>
    <t>Scientific reports</t>
  </si>
  <si>
    <t>https://www.nature.com/articles/s41598-017-13601-y</t>
  </si>
  <si>
    <t xml:space="preserve"> Shreiner, JY Kao, VB Young</t>
  </si>
  <si>
    <t>The gut microbiome in health and in disease</t>
  </si>
  <si>
    <t>Current opinion in …</t>
  </si>
  <si>
    <t>https://www.ncbi.nlm.nih.gov/pmc/articles/PMC4290017/</t>
  </si>
  <si>
    <t xml:space="preserve"> Cryan, KJ O'Riordan, K Sandhu, V Peterson…</t>
  </si>
  <si>
    <t>The gut microbiome in neurological disorders</t>
  </si>
  <si>
    <t>The Lancet …</t>
  </si>
  <si>
    <t>https://www.sciencedirect.com/science/article/pii/S1474442219303564</t>
  </si>
  <si>
    <t xml:space="preserve"> Martin, V Osadchiy, A Kalani, EA Mayer</t>
  </si>
  <si>
    <t>The brain-gut-microbiome axis</t>
  </si>
  <si>
    <t>Cellular and molecular …</t>
  </si>
  <si>
    <t>https://www.sciencedirect.com/science/article/pii/S2352345X18300602</t>
  </si>
  <si>
    <t>Jie, H Xia, SL Zhong, Q Feng, S Li, S Liang…</t>
  </si>
  <si>
    <t>The gut microbiome in atherosclerotic cardiovascular disease</t>
  </si>
  <si>
    <t>https://www.nature.com/articles/s41467-017-00900-1</t>
  </si>
  <si>
    <t>Halfvarson, CJ Brislawn, R Lamendella…</t>
  </si>
  <si>
    <t>Dynamics of the human gut microbiome in inflammatory bowel disease</t>
  </si>
  <si>
    <t>https://www.nature.com/articles/nmicrobiol20174</t>
  </si>
  <si>
    <t>Sharon, TR Sampson, DH Geschwind…</t>
  </si>
  <si>
    <t>The central nervous system and the gut microbiome</t>
  </si>
  <si>
    <t>https://www.sciencedirect.com/science/article/pii/S0092867416314477</t>
  </si>
  <si>
    <t xml:space="preserve"> Kho, SK Lal</t>
  </si>
  <si>
    <t>The human gut microbiome–a potential controller of wellness and disease</t>
  </si>
  <si>
    <t>Frontiers in microbiology</t>
  </si>
  <si>
    <t>https://www.frontiersin.org/articles/10.3389/fmicb.2018.01835/full?fbclid=IwAR2qj2BrDLCeNaXCi4R-zM8bWzv3KlIwpUJHNDLDuiPaM7eulfaIsKNCdBk</t>
  </si>
  <si>
    <t>Jangi, R Gandhi, LM Cox, N Li, F Von Glehn…</t>
  </si>
  <si>
    <t>Alterations of the human gut microbiome in multiple sclerosis</t>
  </si>
  <si>
    <t>https://www.nature.com/articles/ncomms12015</t>
  </si>
  <si>
    <t xml:space="preserve"> Hills Jr, BA Pontefract, HR Mishcon, CA Black…</t>
  </si>
  <si>
    <t>Gut microbiome: profound implications for diet and disease</t>
  </si>
  <si>
    <t>Nutrients</t>
  </si>
  <si>
    <t>https://www.mdpi.com/497588</t>
  </si>
  <si>
    <t>Spor, O Koren, R Ley</t>
  </si>
  <si>
    <t>Unravelling the effects of the environment and host genotype on the gut microbiome</t>
  </si>
  <si>
    <t>Nature Reviews Microbiology</t>
  </si>
  <si>
    <t>https://www.nature.com/articles/nrmicro2540?message=remove&amp;lang=en</t>
  </si>
  <si>
    <t>Imhann, MJ Bonder, AV Vila, J Fu, Z Mujagic, L Vork…</t>
  </si>
  <si>
    <t>Proton pump inhibitors affect the gut microbiome</t>
  </si>
  <si>
    <t>https://gut.bmj.com/content/65/5/740.short</t>
  </si>
  <si>
    <t>Durack, SV Lynch</t>
  </si>
  <si>
    <t>The gut microbiome: relationships with disease and opportunities for therapy</t>
  </si>
  <si>
    <t>Journal of Experimental Medicine</t>
  </si>
  <si>
    <t>https://rupress.org/jem/article-abstract/216/1/20/42456</t>
  </si>
  <si>
    <t xml:space="preserve"> Goodrich, ER Davenport, M Beaumont…</t>
  </si>
  <si>
    <t>Genetic determinants of the gut microbiome in UK twins</t>
  </si>
  <si>
    <t>https://www.sciencedirect.com/science/article/pii/S1931312816301536</t>
  </si>
  <si>
    <t>Schirmer, SP Smeekens, H Vlamakis, M Jaeger…</t>
  </si>
  <si>
    <t>Linking the human gut microbiome to inflammatory cytokine production capacity</t>
  </si>
  <si>
    <t>https://www.sciencedirect.com/science/article/pii/S0092867416314039</t>
  </si>
  <si>
    <t xml:space="preserve"> Ridlon, DJ Kang, PB Hylemon…</t>
  </si>
  <si>
    <t>Bile acids and the gut microbiome</t>
  </si>
  <si>
    <t>https://www.ncbi.nlm.nih.gov/pmc/articles/PMC4215539/</t>
  </si>
  <si>
    <t>B Schmidt, J Raes, P Bork</t>
  </si>
  <si>
    <t>The human gut microbiome: from association to modulation</t>
  </si>
  <si>
    <t>https://www.sciencedirect.com/science/article/pii/S0092867418302216</t>
  </si>
  <si>
    <t>Jovel, LA Dieleman, D Kao, AL Mason, E Wine</t>
  </si>
  <si>
    <t>The human gut microbiome in health and disease</t>
  </si>
  <si>
    <t>Metagenomics</t>
  </si>
  <si>
    <t>https://www.sciencedirect.com/science/article/pii/B9780081022689000100</t>
  </si>
  <si>
    <t xml:space="preserve"> Lagier, F Armougom, M Million, P Hugon…</t>
  </si>
  <si>
    <t>Microbial culturomics: paradigm shift in the human gut microbiome study</t>
  </si>
  <si>
    <t>Clinical Microbiology …</t>
  </si>
  <si>
    <t>https://www.sciencedirect.com/science/article/pii/S1198743X14608041</t>
  </si>
  <si>
    <t>Castaner, A Goday, YM Park, SH Lee…</t>
  </si>
  <si>
    <t>The gut microbiome profile in obesity: a systematic review</t>
  </si>
  <si>
    <t>International journal of …</t>
  </si>
  <si>
    <t>https://www.hindawi.com/journals/ije/2018/4095789/</t>
  </si>
  <si>
    <t>Vangay, AJ Johnson, TL Ward, GA A</t>
  </si>
  <si>
    <t>US immigration westernizes the human gut microbiome</t>
  </si>
  <si>
    <t>https://www.sciencedirect.com/science/article/pii/S0092867418313825</t>
  </si>
  <si>
    <t>Visconti, CI Le Roy, F Rosa, N Rossi…</t>
  </si>
  <si>
    <t>Interplay between the human gut microbiome and host metabolism</t>
  </si>
  <si>
    <t>https://www.nature.com/articles/s41467-019-12476-z).</t>
  </si>
  <si>
    <t xml:space="preserve"> Bonder, A Kurilshikov, EF Tigchelaar, Z Mujagic…</t>
  </si>
  <si>
    <t>The effect of host genetics on the gut microbiome</t>
  </si>
  <si>
    <t>https://www.nature.com/articles/ng.3663</t>
  </si>
  <si>
    <t>Ahn, R Sinha, Z Pei, C Dominianni…</t>
  </si>
  <si>
    <t>Human gut microbiome and risk for colorectal cancer</t>
  </si>
  <si>
    <t>Journal of the …</t>
  </si>
  <si>
    <t>https://academic.oup.com/jnci/article-abstract/105/24/1907/2517573</t>
  </si>
  <si>
    <t>Schloissnig, M Arumugam, S Sunagawa, M Mitreva…</t>
  </si>
  <si>
    <t>Genomic variation landscape of the human gut microbiome</t>
  </si>
  <si>
    <t>https://www.nature.com/articles/nature11711</t>
  </si>
  <si>
    <t>Tilg, A Kaser</t>
  </si>
  <si>
    <t>Gut microbiome, obesity, and metabolic dysfunction</t>
  </si>
  <si>
    <t>The Journal of clinical investigation</t>
  </si>
  <si>
    <t>https://www.jci.org/articles/view/58109</t>
  </si>
  <si>
    <t>Heint</t>
  </si>
  <si>
    <t>Human gut microbiome: function matters</t>
  </si>
  <si>
    <t>Trends in microbiology</t>
  </si>
  <si>
    <t>https://www.sciencedirect.com/science/article/pii/S0966842X17302512</t>
  </si>
  <si>
    <t xml:space="preserve"> Weersma, A Zhernakova, J Fu</t>
  </si>
  <si>
    <t>Interaction between drugs and the gut microbiome</t>
  </si>
  <si>
    <t>https://gut.bmj.com/content/69/8/1510.abstract</t>
  </si>
  <si>
    <t xml:space="preserve"> Turnbaugh, JI Gordon</t>
  </si>
  <si>
    <t>The core gut microbiome, energy balance and obesity</t>
  </si>
  <si>
    <t>The Journal of physiology</t>
  </si>
  <si>
    <t>https://physoc.onlinelibrary.wiley.com/doi/abs/10.1113/jphysiol.2009.174136</t>
  </si>
  <si>
    <t>Dabke, G Hendrick, S Devkota</t>
  </si>
  <si>
    <t>The gut microbiome and metabolic syndrome</t>
  </si>
  <si>
    <t>The Journal of clinical …</t>
  </si>
  <si>
    <t>https://www.jci.org/articles/view/129194</t>
  </si>
  <si>
    <t>Salem, A Ramser, N Isham…</t>
  </si>
  <si>
    <t>The gut microbiome as a major regulator of the gut-skin axis</t>
  </si>
  <si>
    <t>https://www.frontiersin.org/articles/10.3389/fmicb.2018.01459/full?fbclid=IwAR3uim7TNrsWH28dPGEFnZg2sNWAXP1ZSqcK9LERa-3ZoAqk6-fHTGhDcVU</t>
  </si>
  <si>
    <t>Kundu, E Blacher, E Elinav, S Pettersson</t>
  </si>
  <si>
    <t>Our gut microbiome: the evolving inner self</t>
  </si>
  <si>
    <t>https://www.sciencedirect.com/science/article/pii/S0092867417313715</t>
  </si>
  <si>
    <t>Tropini, KA Earle, KC Huang, JL Sonnenburg</t>
  </si>
  <si>
    <t>The gut microbiome: connecting spatial organization to function</t>
  </si>
  <si>
    <t>Cell host &amp; microbe</t>
  </si>
  <si>
    <t>https://www.sciencedirect.com/science/article/pii/S1931312817301208</t>
  </si>
  <si>
    <t>Tremlett, KC Bauer, S Appel‐Cresswell…</t>
  </si>
  <si>
    <t>The gut microbiome in human neurological disease: a review</t>
  </si>
  <si>
    <t>Annals of …</t>
  </si>
  <si>
    <t>https://onlinelibrary.wiley.com/doi/abs/10.1002/ana.24901</t>
  </si>
  <si>
    <t>Galland</t>
  </si>
  <si>
    <t>The gut microbiome and the brain</t>
  </si>
  <si>
    <t>Journal of medicinal food</t>
  </si>
  <si>
    <t>https://www.liebertpub.com/doi/abs/10.1089/jmf.2014.7000</t>
  </si>
  <si>
    <t xml:space="preserve"> Hall, AC Tolonen, RJ Xavier</t>
  </si>
  <si>
    <t>Human genetic variation and the gut microbiome in disease</t>
  </si>
  <si>
    <t>Nature Reviews Genetics</t>
  </si>
  <si>
    <t>https://www.nature.com/articles/nrg.2017.63</t>
  </si>
  <si>
    <t>Gacesa, A Kurilshikov, A Vich Vila, T Sinha…</t>
  </si>
  <si>
    <t>Environmental factors shaping the gut microbiome in a Dutch population</t>
  </si>
  <si>
    <t>https://www.nature.com/articles/s41586-022-04567-7</t>
  </si>
  <si>
    <t>Ghaisas, J Maher, A Kanthasamy</t>
  </si>
  <si>
    <t>Gut microbiome in health and disease: Linking the microbiome–gut–brain axis and environmental factors in the pathogenesis of systemic and neurodegenerative …</t>
  </si>
  <si>
    <t>Pharmacology &amp; therapeutics</t>
  </si>
  <si>
    <t>https://www.sciencedirect.com/science/article/pii/S0163725815002259</t>
  </si>
  <si>
    <t>Walter, R Ley</t>
  </si>
  <si>
    <t>The human gut microbiome: ecology and recent evolutionary changes</t>
  </si>
  <si>
    <t>https://digitalcommons.unl.edu/foodsciefacpub/369/</t>
  </si>
  <si>
    <t xml:space="preserve"> Zackular, NT Baxter, KD Iverson, WD Sadler…</t>
  </si>
  <si>
    <t>The gut microbiome modulates colon tumorigenesis</t>
  </si>
  <si>
    <t>MBio</t>
  </si>
  <si>
    <t>https://journals.asm.org/doi/abs/10.1128/mbio.00692-13</t>
  </si>
  <si>
    <t>Tilg, PD Cani, EA Mayer</t>
  </si>
  <si>
    <t>Gut microbiome and liver diseases</t>
  </si>
  <si>
    <t>https://gut.bmj.com/content/65/12/2035.short</t>
  </si>
  <si>
    <t xml:space="preserve"> Kinross, AW Darzi…</t>
  </si>
  <si>
    <t>Gut microbiome-host interactions in health and disease</t>
  </si>
  <si>
    <t>Genome …</t>
  </si>
  <si>
    <t>https://genomemedicine.biomedcentral.com/articles/10.1186/gm228</t>
  </si>
  <si>
    <t>Sharma, P Tripathi</t>
  </si>
  <si>
    <t>Gut microbiome and type 2 diabetes: where we are and where to go?</t>
  </si>
  <si>
    <t>The Journal of nutritional biochemistry</t>
  </si>
  <si>
    <t>https://www.sciencedirect.com/science/article/pii/S0955286318303073</t>
  </si>
  <si>
    <t>D'Argenio, F Salvatore</t>
  </si>
  <si>
    <t>The role of the gut microbiome in the healthy adult status</t>
  </si>
  <si>
    <t>Clinica chimica acta</t>
  </si>
  <si>
    <t>https://www.sciencedirect.com/science/article/pii/S0009898115000170</t>
  </si>
  <si>
    <t xml:space="preserve"> Wilson, KR Koller, MC Ramaboli…</t>
  </si>
  <si>
    <t>Diet and the human gut microbiome: an international review</t>
  </si>
  <si>
    <t>Digestive diseases and …</t>
  </si>
  <si>
    <t>https://link.springer.com/article/10.1007/s10620-020-06112-w</t>
  </si>
  <si>
    <t>Xu, R Knight</t>
  </si>
  <si>
    <t>Dietary effects on human gut microbiome diversity</t>
  </si>
  <si>
    <t>British Journal of Nutrition</t>
  </si>
  <si>
    <t>https://www.cambridge.org/core/journals/british-journal-of-nutrition/article/dietary-effects-on-human-gut-microbiome-diversity/E9B592DB4E5C570C6D5142B99CE74D3E</t>
  </si>
  <si>
    <t>Shanahan, TS Ghosh, PW O'Toole</t>
  </si>
  <si>
    <t>The healthy microbiome—what is the definition of a healthy gut microbiome?</t>
  </si>
  <si>
    <t>Gastroenterology</t>
  </si>
  <si>
    <t>https://www.sciencedirect.com/science/article/pii/S0016508520355086</t>
  </si>
  <si>
    <t>Allaband, D McDonald, Y Vázque</t>
  </si>
  <si>
    <t>Microbiome 101: studying, analyzing, and interpreting gut microbiome data for clinicians</t>
  </si>
  <si>
    <t>Clinical …</t>
  </si>
  <si>
    <t>https://www.sciencedirect.com/science/article/pii/S1542356518310085</t>
  </si>
  <si>
    <t xml:space="preserve"> Zackular, MAM Rogers, MT Ruffin IV…</t>
  </si>
  <si>
    <t>The human gut microbiome as a screening tool for colorectal cancer</t>
  </si>
  <si>
    <t>Cancer prevention …</t>
  </si>
  <si>
    <t>https://aacrjournals.org/cancerpreventionresearch/article-abstract/7/11/1112/50234</t>
  </si>
  <si>
    <t xml:space="preserve"> Mohajeri, G La Fata, RE Steinert…</t>
  </si>
  <si>
    <t>Relationship between the gut microbiome and brain function</t>
  </si>
  <si>
    <t>Nutrition …</t>
  </si>
  <si>
    <t>https://academic.oup.com/nutritionreviews/article-abstract/76/7/481/4985887</t>
  </si>
  <si>
    <t xml:space="preserve"> Tseng, CY Wu</t>
  </si>
  <si>
    <t>The gut microbiome in obesity</t>
  </si>
  <si>
    <t>Journal of the Formosan Medical Association</t>
  </si>
  <si>
    <t>https://www.sciencedirect.com/science/article/pii/S0929664618304376</t>
  </si>
  <si>
    <t>Davis</t>
  </si>
  <si>
    <t>The gut microbiome and its role in obesity</t>
  </si>
  <si>
    <t>Nutrition today</t>
  </si>
  <si>
    <t>https://www.ncbi.nlm.nih.gov/pmc/articles/PMC5082693/</t>
  </si>
  <si>
    <t xml:space="preserve"> John, GE Mullin</t>
  </si>
  <si>
    <t>The gut microbiome and obesity</t>
  </si>
  <si>
    <t>Current oncology reports</t>
  </si>
  <si>
    <t>https://link.springer.com/article/10.1007/s11912-016-0528-7</t>
  </si>
  <si>
    <t>Yan, Y Gu, X Li, W Yang, L Jia, C Chen…</t>
  </si>
  <si>
    <t>Alterations of the gut microbiome in hypertension</t>
  </si>
  <si>
    <t>Frontiers in cellular …</t>
  </si>
  <si>
    <t>https://www.frontiersin.org/articles/10.3389/fcimb.2017.00381/full</t>
  </si>
  <si>
    <t>Winter, RA Hart, RPG Charlesworth…</t>
  </si>
  <si>
    <t>Gut microbiome and depression: what we know and what we need to know</t>
  </si>
  <si>
    <t>Reviews in the …</t>
  </si>
  <si>
    <t>https://www.degruyter.com/document/doi/10.1515/revneuro-2017-0072/html</t>
  </si>
  <si>
    <t xml:space="preserve"> Moore, SD Townsend</t>
  </si>
  <si>
    <t>Temporal development of the infant gut microbiome</t>
  </si>
  <si>
    <t>Open biology</t>
  </si>
  <si>
    <t>https://royalsocietypublishing.org/doi/abs/10.1098/rsob.190128</t>
  </si>
  <si>
    <t xml:space="preserve"> Cresci, E Bawden</t>
  </si>
  <si>
    <t>Gut microbiome: what we do and don't know</t>
  </si>
  <si>
    <t>Nutrition in Clinical Practice</t>
  </si>
  <si>
    <t>https://aspenjournals.onlinelibrary.wiley.com/doi/abs/10.1177/0884533615609899</t>
  </si>
  <si>
    <t xml:space="preserve"> Hollister, K Riehle, RA Luna…</t>
  </si>
  <si>
    <t>Structure and function of the healthy pre-adolescent pediatric gut microbiome</t>
  </si>
  <si>
    <t>…</t>
  </si>
  <si>
    <t>https://microbiomejournal.biomedcentral.com/articles/10.1186/s40168-015-0101-x</t>
  </si>
  <si>
    <t xml:space="preserve"> Gritz, V Bhandari</t>
  </si>
  <si>
    <t>The human neonatal gut microbiome: a brief review</t>
  </si>
  <si>
    <t>Frontiers in pediatrics</t>
  </si>
  <si>
    <t>https://www.frontiersin.org/articles/10.3389/fped.2015.00017/full</t>
  </si>
  <si>
    <t xml:space="preserve"> Cani, NM Delzenne</t>
  </si>
  <si>
    <t>The gut microbiome as therapeutic target</t>
  </si>
  <si>
    <t>https://www.sciencedirect.com/science/article/pii/S0163725811000362</t>
  </si>
  <si>
    <t>Kurilshikov, C Wijmenga, J Fu, A Zhernakova</t>
  </si>
  <si>
    <t>Host genetics and gut microbiome: challenges and perspectives</t>
  </si>
  <si>
    <t>Trends in immunology</t>
  </si>
  <si>
    <t>https://www.sciencedirect.com/science/article/pii/S1471490617301060</t>
  </si>
  <si>
    <t>Dave, PD Higgins, S Middha, KP Rioux</t>
  </si>
  <si>
    <t>The human gut microbiome: current knowledge, challenges, and future directions</t>
  </si>
  <si>
    <t>Translational Research</t>
  </si>
  <si>
    <t>https://www.sciencedirect.com/science/article/pii/S1931524412001624</t>
  </si>
  <si>
    <t>Salazar, L Valdé</t>
  </si>
  <si>
    <t>Nutrition and the gut microbiome in the elderly</t>
  </si>
  <si>
    <t>Gut …</t>
  </si>
  <si>
    <t>https://www.tandfonline.com/doi/abs/10.1080/19490976.2016.1256525</t>
  </si>
  <si>
    <t xml:space="preserve"> Mulle, WG Sharp, JF Cubells</t>
  </si>
  <si>
    <t>The gut microbiome: a new frontier in autism research</t>
  </si>
  <si>
    <t>Current psychiatry reports</t>
  </si>
  <si>
    <t>https://link.springer.com/article/10.1007/s11920-012-0337-0</t>
  </si>
  <si>
    <t>Nallu, S Sharma, A Ramezani, J Muralidharan…</t>
  </si>
  <si>
    <t>Gut microbiome in chronic kidney disease: challenges and opportunities</t>
  </si>
  <si>
    <t>Translational …</t>
  </si>
  <si>
    <t>https://www.sciencedirect.com/science/article/pii/S1931524416300330</t>
  </si>
  <si>
    <t>Zhu, W Liu, R Alkhouri, RD Baker…</t>
  </si>
  <si>
    <t>Structural changes in the gut microbiome of constipated patients</t>
  </si>
  <si>
    <t>Physiological …</t>
  </si>
  <si>
    <t>https://journals.physiology.org/doi/abs/10.1152/physiolgenomics.00082.2014</t>
  </si>
  <si>
    <t>Iizumi, T Battaglia, V Ruiz, GIP Perez</t>
  </si>
  <si>
    <t>Gut microbiome and antibiotics</t>
  </si>
  <si>
    <t>Archives of medical research</t>
  </si>
  <si>
    <t>https://www.sciencedirect.com/science/article/pii/S0188440917302333</t>
  </si>
  <si>
    <t>Mazidi, P Rezaie, AP Kengne, MG Mobarhan…</t>
  </si>
  <si>
    <t>Gut microbiome and metabolic syndrome</t>
  </si>
  <si>
    <t>Diabetes &amp; Metabolic …</t>
  </si>
  <si>
    <t>https://www.sciencedirect.com/science/article/pii/S1871402115300679</t>
  </si>
  <si>
    <t>Vandeputte, RY Tito, R Vanleeuwen…</t>
  </si>
  <si>
    <t>Practical considerations for large-scale gut microbiome studies</t>
  </si>
  <si>
    <t>FEMS microbiology …</t>
  </si>
  <si>
    <t>https://academic.oup.com/femsre/article-abstract/41/Supplement_1/S154/3902998</t>
  </si>
  <si>
    <t>Sherwin, K Rea, TG Dinan…</t>
  </si>
  <si>
    <t>A gut (microbiome) feeling about the brain</t>
  </si>
  <si>
    <t>https://journals.lww.com/co-gastroenterology/FullText/2016/03000/A_gut__microbiome__feeling_about_the_brain.7.aspx</t>
  </si>
  <si>
    <t>Zhuang, L Cheng, Y Wang, YK Zhang…</t>
  </si>
  <si>
    <t>Dysbiosis of the gut microbiome in lung cancer</t>
  </si>
  <si>
    <t>https://www.frontiersin.org/articles/10.3389/fcimb.2019.00112/full</t>
  </si>
  <si>
    <t>H Blum, S Zechmeiste</t>
  </si>
  <si>
    <t>Does soil contribute to the human gut microbiome?</t>
  </si>
  <si>
    <t>Microorganisms</t>
  </si>
  <si>
    <t>https://www.mdpi.com/520646</t>
  </si>
  <si>
    <t xml:space="preserve"> Arnold, J Roach, MA Azcarat</t>
  </si>
  <si>
    <t>Emerging technologies for gut microbiome research</t>
  </si>
  <si>
    <t>https://www.sciencedirect.com/science/article/pii/S0966842X16300713</t>
  </si>
  <si>
    <t xml:space="preserve"> Knox, JD Forbes, G Van Domselaar…</t>
  </si>
  <si>
    <t>The gut microbiome as a target for IBD treatment: are we there yet?</t>
  </si>
  <si>
    <t>… treatment options in …</t>
  </si>
  <si>
    <t>https://link.springer.com/article/10.1007/s11938-019-00221-w</t>
  </si>
  <si>
    <t>Ahmadmehrabi, WHW Tang</t>
  </si>
  <si>
    <t>Gut microbiome and its role in cardiovascular diseases</t>
  </si>
  <si>
    <t>Current opinion in cardiology</t>
  </si>
  <si>
    <t>https://www.ncbi.nlm.nih.gov/pmc/articles/PMC5746314/</t>
  </si>
  <si>
    <t>W Tang, SL Hazen</t>
  </si>
  <si>
    <t>The gut microbiome and its role in cardiovascular diseases</t>
  </si>
  <si>
    <t>Circulation</t>
  </si>
  <si>
    <t>https://www.ahajournals.org/doi/abs/10.1161/circulationaha.116.024251</t>
  </si>
  <si>
    <t>Magnúsdóttir, I Thiele</t>
  </si>
  <si>
    <t>Modeling metabolism of the human gut microbiome</t>
  </si>
  <si>
    <t>Current opinion in biotechnology</t>
  </si>
  <si>
    <t>https://www.sciencedirect.com/science/article/pii/S095816691730201X</t>
  </si>
  <si>
    <t>Fukuda, H Ohno</t>
  </si>
  <si>
    <t>Gut microbiome and metabolic diseases</t>
  </si>
  <si>
    <t>Seminars in immunopathology</t>
  </si>
  <si>
    <t>https://link.springer.com/article/10.1007/s00281-013-0399-z</t>
  </si>
  <si>
    <t>Venema, P Van den Abbeele</t>
  </si>
  <si>
    <t>Experimental models of the gut microbiome</t>
  </si>
  <si>
    <t>Best Practice &amp; Research Clinical …</t>
  </si>
  <si>
    <t>https://www.sciencedirect.com/science/article/pii/S1521691813000565</t>
  </si>
  <si>
    <t xml:space="preserve"> Wu, JD Lewis</t>
  </si>
  <si>
    <t>Analysis of the human gut microbiome and association with disease</t>
  </si>
  <si>
    <t>Clinical Gastroenterology and Hepatology</t>
  </si>
  <si>
    <t>https://www.cghjournal.org/article/S1542-3565(13)00596-X/abstract</t>
  </si>
  <si>
    <t>Yoshida, T Yamashita, K Hirata</t>
  </si>
  <si>
    <t>Gut microbiome and cardiovascular diseases</t>
  </si>
  <si>
    <t>Diseases</t>
  </si>
  <si>
    <t>https://www.mdpi.com/310528</t>
  </si>
  <si>
    <t xml:space="preserve"> Kinross, AC von Roon, E Holmes, A Darzi…</t>
  </si>
  <si>
    <t>The human gut microbiome: implications for future health care</t>
  </si>
  <si>
    <t>Current …</t>
  </si>
  <si>
    <t>https://link.springer.com/article/10.1007/s11894-008-0075-y</t>
  </si>
  <si>
    <t>Sidhu, D van der Poorten</t>
  </si>
  <si>
    <t>The gut microbiome</t>
  </si>
  <si>
    <t>Australian family physician</t>
  </si>
  <si>
    <t>https://search.informit.org/doi/abs/10.3316/informit.741870194405168</t>
  </si>
  <si>
    <t>Brody</t>
  </si>
  <si>
    <t>The gut microbiome.</t>
  </si>
  <si>
    <t>https://go.gale.com/ps/i.do?id=GALE%7CA660675579&amp;sid=googleScholar&amp;v=2.1&amp;it=r&amp;linkaccess=abs&amp;issn=00280836&amp;p=AONE&amp;sw=w</t>
  </si>
  <si>
    <t>Addendum: Enterotypes of the human gut microbiome</t>
  </si>
  <si>
    <t>https://www.nature.com/articles/nature13075</t>
  </si>
  <si>
    <t>M Cresci, K Izzo</t>
  </si>
  <si>
    <t>Gut microbiome</t>
  </si>
  <si>
    <t>Adult short bowel syndrome</t>
  </si>
  <si>
    <t>https://www.sciencedirect.com/science/article/pii/B9780128143308000044</t>
  </si>
  <si>
    <t xml:space="preserve"> Siezen, M Kleerebezem</t>
  </si>
  <si>
    <t>The human gut microbiome: are we our enterotypes?</t>
  </si>
  <si>
    <t>Microbial biotechnology</t>
  </si>
  <si>
    <t>https://www.ncbi.nlm.nih.gov/pmc/articles/PMC3819005/</t>
  </si>
  <si>
    <t xml:space="preserve"> Singh, HW Chang, DI Yan…</t>
  </si>
  <si>
    <t>Influence of diet on the gut microbiome and implications for human health</t>
  </si>
  <si>
    <t>https://translational-medicine.biomedcentral.com/articles/10.1186/s12967-017-1175-y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</si>
</sst>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ut.bmj.com/content/69/8/1510.abstract" TargetMode="External"/><Relationship Id="rId42" Type="http://schemas.openxmlformats.org/officeDocument/2006/relationships/hyperlink" Target="https://www.jci.org/articles/view/129194" TargetMode="External"/><Relationship Id="rId41" Type="http://schemas.openxmlformats.org/officeDocument/2006/relationships/hyperlink" Target="https://physoc.onlinelibrary.wiley.com/doi/abs/10.1113/jphysiol.2009.174136" TargetMode="External"/><Relationship Id="rId44" Type="http://schemas.openxmlformats.org/officeDocument/2006/relationships/hyperlink" Target="https://www.sciencedirect.com/science/article/pii/S0092867417313715" TargetMode="External"/><Relationship Id="rId43" Type="http://schemas.openxmlformats.org/officeDocument/2006/relationships/hyperlink" Target="https://www.frontiersin.org/articles/10.3389/fmicb.2018.01459/full?fbclid=IwAR3uim7TNrsWH28dPGEFnZg2sNWAXP1ZSqcK9LERa-3ZoAqk6-fHTGhDcVU" TargetMode="External"/><Relationship Id="rId46" Type="http://schemas.openxmlformats.org/officeDocument/2006/relationships/hyperlink" Target="https://onlinelibrary.wiley.com/doi/abs/10.1002/ana.24901" TargetMode="External"/><Relationship Id="rId45" Type="http://schemas.openxmlformats.org/officeDocument/2006/relationships/hyperlink" Target="https://www.sciencedirect.com/science/article/pii/S1931312817301208" TargetMode="External"/><Relationship Id="rId48" Type="http://schemas.openxmlformats.org/officeDocument/2006/relationships/hyperlink" Target="https://www.nature.com/articles/nrg.2017.63" TargetMode="External"/><Relationship Id="rId47" Type="http://schemas.openxmlformats.org/officeDocument/2006/relationships/hyperlink" Target="https://www.liebertpub.com/doi/abs/10.1089/jmf.2014.7000" TargetMode="External"/><Relationship Id="rId49" Type="http://schemas.openxmlformats.org/officeDocument/2006/relationships/hyperlink" Target="https://www.nature.com/articles/s41586-022-04567-7" TargetMode="External"/><Relationship Id="rId101" Type="http://schemas.openxmlformats.org/officeDocument/2006/relationships/drawing" Target="../drawings/drawing1.xml"/><Relationship Id="rId100" Type="http://schemas.openxmlformats.org/officeDocument/2006/relationships/hyperlink" Target="https://translational-medicine.biomedcentral.com/articles/10.1186/s12967-017-1175-y" TargetMode="External"/><Relationship Id="rId31" Type="http://schemas.openxmlformats.org/officeDocument/2006/relationships/hyperlink" Target="https://www.sciencedirect.com/science/article/pii/S1198743X14608041" TargetMode="External"/><Relationship Id="rId30" Type="http://schemas.openxmlformats.org/officeDocument/2006/relationships/hyperlink" Target="https://www.sciencedirect.com/science/article/pii/B9780081022689000100" TargetMode="External"/><Relationship Id="rId33" Type="http://schemas.openxmlformats.org/officeDocument/2006/relationships/hyperlink" Target="https://www.sciencedirect.com/science/article/pii/S0092867418313825" TargetMode="External"/><Relationship Id="rId32" Type="http://schemas.openxmlformats.org/officeDocument/2006/relationships/hyperlink" Target="https://www.hindawi.com/journals/ije/2018/4095789/" TargetMode="External"/><Relationship Id="rId35" Type="http://schemas.openxmlformats.org/officeDocument/2006/relationships/hyperlink" Target="https://www.nature.com/articles/ng.3663" TargetMode="External"/><Relationship Id="rId34" Type="http://schemas.openxmlformats.org/officeDocument/2006/relationships/hyperlink" Target="https://www.nature.com/articles/s41467-019-12476-z)." TargetMode="External"/><Relationship Id="rId37" Type="http://schemas.openxmlformats.org/officeDocument/2006/relationships/hyperlink" Target="https://www.nature.com/articles/nature11711" TargetMode="External"/><Relationship Id="rId36" Type="http://schemas.openxmlformats.org/officeDocument/2006/relationships/hyperlink" Target="https://academic.oup.com/jnci/article-abstract/105/24/1907/2517573" TargetMode="External"/><Relationship Id="rId39" Type="http://schemas.openxmlformats.org/officeDocument/2006/relationships/hyperlink" Target="https://www.sciencedirect.com/science/article/pii/S0966842X17302512" TargetMode="External"/><Relationship Id="rId38" Type="http://schemas.openxmlformats.org/officeDocument/2006/relationships/hyperlink" Target="https://www.jci.org/articles/view/58109" TargetMode="External"/><Relationship Id="rId20" Type="http://schemas.openxmlformats.org/officeDocument/2006/relationships/hyperlink" Target="https://www.frontiersin.org/articles/10.3389/fmicb.2018.01835/full?fbclid=IwAR2qj2BrDLCeNaXCi4R-zM8bWzv3KlIwpUJHNDLDuiPaM7eulfaIsKNCdBk" TargetMode="External"/><Relationship Id="rId22" Type="http://schemas.openxmlformats.org/officeDocument/2006/relationships/hyperlink" Target="https://www.mdpi.com/497588" TargetMode="External"/><Relationship Id="rId21" Type="http://schemas.openxmlformats.org/officeDocument/2006/relationships/hyperlink" Target="https://www.nature.com/articles/ncomms12015" TargetMode="External"/><Relationship Id="rId24" Type="http://schemas.openxmlformats.org/officeDocument/2006/relationships/hyperlink" Target="https://gut.bmj.com/content/65/5/740.short" TargetMode="External"/><Relationship Id="rId23" Type="http://schemas.openxmlformats.org/officeDocument/2006/relationships/hyperlink" Target="https://www.nature.com/articles/nrmicro2540?message=remove&amp;lang=en" TargetMode="External"/><Relationship Id="rId26" Type="http://schemas.openxmlformats.org/officeDocument/2006/relationships/hyperlink" Target="https://www.sciencedirect.com/science/article/pii/S1931312816301536" TargetMode="External"/><Relationship Id="rId25" Type="http://schemas.openxmlformats.org/officeDocument/2006/relationships/hyperlink" Target="https://rupress.org/jem/article-abstract/216/1/20/42456" TargetMode="External"/><Relationship Id="rId28" Type="http://schemas.openxmlformats.org/officeDocument/2006/relationships/hyperlink" Target="https://www.ncbi.nlm.nih.gov/pmc/articles/PMC4215539/" TargetMode="External"/><Relationship Id="rId27" Type="http://schemas.openxmlformats.org/officeDocument/2006/relationships/hyperlink" Target="https://www.sciencedirect.com/science/article/pii/S0092867416314039" TargetMode="External"/><Relationship Id="rId29" Type="http://schemas.openxmlformats.org/officeDocument/2006/relationships/hyperlink" Target="https://www.sciencedirect.com/science/article/pii/S0092867418302216" TargetMode="External"/><Relationship Id="rId95" Type="http://schemas.openxmlformats.org/officeDocument/2006/relationships/hyperlink" Target="https://search.informit.org/doi/abs/10.3316/informit.741870194405168" TargetMode="External"/><Relationship Id="rId94" Type="http://schemas.openxmlformats.org/officeDocument/2006/relationships/hyperlink" Target="https://link.springer.com/article/10.1007/s11894-008-0075-y" TargetMode="External"/><Relationship Id="rId97" Type="http://schemas.openxmlformats.org/officeDocument/2006/relationships/hyperlink" Target="https://www.nature.com/articles/nature13075" TargetMode="External"/><Relationship Id="rId96" Type="http://schemas.openxmlformats.org/officeDocument/2006/relationships/hyperlink" Target="https://go.gale.com/ps/i.do?id=GALE%7CA660675579&amp;sid=googleScholar&amp;v=2.1&amp;it=r&amp;linkaccess=abs&amp;issn=00280836&amp;p=AONE&amp;sw=w" TargetMode="External"/><Relationship Id="rId11" Type="http://schemas.openxmlformats.org/officeDocument/2006/relationships/hyperlink" Target="https://www.nature.com/articles/s41564-018-0306-4" TargetMode="External"/><Relationship Id="rId99" Type="http://schemas.openxmlformats.org/officeDocument/2006/relationships/hyperlink" Target="https://www.ncbi.nlm.nih.gov/pmc/articles/PMC3819005/" TargetMode="External"/><Relationship Id="rId10" Type="http://schemas.openxmlformats.org/officeDocument/2006/relationships/hyperlink" Target="https://www.nature.com/articles/nature10213" TargetMode="External"/><Relationship Id="rId98" Type="http://schemas.openxmlformats.org/officeDocument/2006/relationships/hyperlink" Target="https://www.sciencedirect.com/science/article/pii/B9780128143308000044" TargetMode="External"/><Relationship Id="rId13" Type="http://schemas.openxmlformats.org/officeDocument/2006/relationships/hyperlink" Target="https://www.nature.com/articles/s41598-017-13601-y" TargetMode="External"/><Relationship Id="rId12" Type="http://schemas.openxmlformats.org/officeDocument/2006/relationships/hyperlink" Target="https://gut.bmj.com/content/67/9/1716?aff=68" TargetMode="External"/><Relationship Id="rId91" Type="http://schemas.openxmlformats.org/officeDocument/2006/relationships/hyperlink" Target="https://www.sciencedirect.com/science/article/pii/S1521691813000565" TargetMode="External"/><Relationship Id="rId90" Type="http://schemas.openxmlformats.org/officeDocument/2006/relationships/hyperlink" Target="https://link.springer.com/article/10.1007/s00281-013-0399-z" TargetMode="External"/><Relationship Id="rId93" Type="http://schemas.openxmlformats.org/officeDocument/2006/relationships/hyperlink" Target="https://www.mdpi.com/310528" TargetMode="External"/><Relationship Id="rId92" Type="http://schemas.openxmlformats.org/officeDocument/2006/relationships/hyperlink" Target="https://www.cghjournal.org/article/S1542-3565(13)00596-X/abstract" TargetMode="External"/><Relationship Id="rId15" Type="http://schemas.openxmlformats.org/officeDocument/2006/relationships/hyperlink" Target="https://www.sciencedirect.com/science/article/pii/S1474442219303564" TargetMode="External"/><Relationship Id="rId14" Type="http://schemas.openxmlformats.org/officeDocument/2006/relationships/hyperlink" Target="https://www.ncbi.nlm.nih.gov/pmc/articles/PMC4290017/" TargetMode="External"/><Relationship Id="rId17" Type="http://schemas.openxmlformats.org/officeDocument/2006/relationships/hyperlink" Target="https://www.nature.com/articles/s41467-017-00900-1" TargetMode="External"/><Relationship Id="rId16" Type="http://schemas.openxmlformats.org/officeDocument/2006/relationships/hyperlink" Target="https://www.sciencedirect.com/science/article/pii/S2352345X18300602" TargetMode="External"/><Relationship Id="rId19" Type="http://schemas.openxmlformats.org/officeDocument/2006/relationships/hyperlink" Target="https://www.sciencedirect.com/science/article/pii/S0092867416314477" TargetMode="External"/><Relationship Id="rId18" Type="http://schemas.openxmlformats.org/officeDocument/2006/relationships/hyperlink" Target="https://www.nature.com/articles/nmicrobiol20174" TargetMode="External"/><Relationship Id="rId84" Type="http://schemas.openxmlformats.org/officeDocument/2006/relationships/hyperlink" Target="https://www.mdpi.com/520646" TargetMode="External"/><Relationship Id="rId83" Type="http://schemas.openxmlformats.org/officeDocument/2006/relationships/hyperlink" Target="https://www.frontiersin.org/articles/10.3389/fcimb.2019.00112/full" TargetMode="External"/><Relationship Id="rId86" Type="http://schemas.openxmlformats.org/officeDocument/2006/relationships/hyperlink" Target="https://link.springer.com/article/10.1007/s11938-019-00221-w" TargetMode="External"/><Relationship Id="rId85" Type="http://schemas.openxmlformats.org/officeDocument/2006/relationships/hyperlink" Target="https://www.sciencedirect.com/science/article/pii/S0966842X16300713" TargetMode="External"/><Relationship Id="rId88" Type="http://schemas.openxmlformats.org/officeDocument/2006/relationships/hyperlink" Target="https://www.ahajournals.org/doi/abs/10.1161/circulationaha.116.024251" TargetMode="External"/><Relationship Id="rId87" Type="http://schemas.openxmlformats.org/officeDocument/2006/relationships/hyperlink" Target="https://www.ncbi.nlm.nih.gov/pmc/articles/PMC5746314/" TargetMode="External"/><Relationship Id="rId89" Type="http://schemas.openxmlformats.org/officeDocument/2006/relationships/hyperlink" Target="https://www.sciencedirect.com/science/article/pii/S095816691730201X" TargetMode="External"/><Relationship Id="rId80" Type="http://schemas.openxmlformats.org/officeDocument/2006/relationships/hyperlink" Target="https://www.sciencedirect.com/science/article/pii/S1871402115300679" TargetMode="External"/><Relationship Id="rId82" Type="http://schemas.openxmlformats.org/officeDocument/2006/relationships/hyperlink" Target="https://journals.lww.com/co-gastroenterology/FullText/2016/03000/A_gut__microbiome__feeling_about_the_brain.7.aspx" TargetMode="External"/><Relationship Id="rId81" Type="http://schemas.openxmlformats.org/officeDocument/2006/relationships/hyperlink" Target="https://academic.oup.com/femsre/article-abstract/41/Supplement_1/S154/3902998" TargetMode="External"/><Relationship Id="rId1" Type="http://schemas.openxmlformats.org/officeDocument/2006/relationships/hyperlink" Target="https://www.nature.com/articles/nature12820?source=p5814" TargetMode="External"/><Relationship Id="rId2" Type="http://schemas.openxmlformats.org/officeDocument/2006/relationships/hyperlink" Target="https://www.nature.com/articles/nature05414/?source=post_elevate_sequence_page---------------------------" TargetMode="External"/><Relationship Id="rId3" Type="http://schemas.openxmlformats.org/officeDocument/2006/relationships/hyperlink" Target="https://www.nature.com/articles/nature11053" TargetMode="External"/><Relationship Id="rId4" Type="http://schemas.openxmlformats.org/officeDocument/2006/relationships/hyperlink" Target="https://www.nature.com/articles/nature07540?s?s%3Fs%3Fs%3Fs" TargetMode="External"/><Relationship Id="rId9" Type="http://schemas.openxmlformats.org/officeDocument/2006/relationships/hyperlink" Target="https://www.science.org/doi/abs/10.1126/science.aad3503" TargetMode="External"/><Relationship Id="rId5" Type="http://schemas.openxmlformats.org/officeDocument/2006/relationships/hyperlink" Target="https://www.nature.com/articles/nature09944/amp/" TargetMode="External"/><Relationship Id="rId6" Type="http://schemas.openxmlformats.org/officeDocument/2006/relationships/hyperlink" Target="https://www.sciencedirect.com/science/article/pii/S1931312815001626" TargetMode="External"/><Relationship Id="rId7" Type="http://schemas.openxmlformats.org/officeDocument/2006/relationships/hyperlink" Target="https://www.science.org/doi/abs/10.1126/science.1124234" TargetMode="External"/><Relationship Id="rId8" Type="http://schemas.openxmlformats.org/officeDocument/2006/relationships/hyperlink" Target="https://www.sciencedirect.com/science/article/pii/S0092867414012410" TargetMode="External"/><Relationship Id="rId73" Type="http://schemas.openxmlformats.org/officeDocument/2006/relationships/hyperlink" Target="https://www.sciencedirect.com/science/article/pii/S1471490617301060" TargetMode="External"/><Relationship Id="rId72" Type="http://schemas.openxmlformats.org/officeDocument/2006/relationships/hyperlink" Target="https://www.sciencedirect.com/science/article/pii/S0163725811000362" TargetMode="External"/><Relationship Id="rId75" Type="http://schemas.openxmlformats.org/officeDocument/2006/relationships/hyperlink" Target="https://www.tandfonline.com/doi/abs/10.1080/19490976.2016.1256525" TargetMode="External"/><Relationship Id="rId74" Type="http://schemas.openxmlformats.org/officeDocument/2006/relationships/hyperlink" Target="https://www.sciencedirect.com/science/article/pii/S1931524412001624" TargetMode="External"/><Relationship Id="rId77" Type="http://schemas.openxmlformats.org/officeDocument/2006/relationships/hyperlink" Target="https://www.sciencedirect.com/science/article/pii/S1931524416300330" TargetMode="External"/><Relationship Id="rId76" Type="http://schemas.openxmlformats.org/officeDocument/2006/relationships/hyperlink" Target="https://link.springer.com/article/10.1007/s11920-012-0337-0" TargetMode="External"/><Relationship Id="rId79" Type="http://schemas.openxmlformats.org/officeDocument/2006/relationships/hyperlink" Target="https://www.sciencedirect.com/science/article/pii/S0188440917302333" TargetMode="External"/><Relationship Id="rId78" Type="http://schemas.openxmlformats.org/officeDocument/2006/relationships/hyperlink" Target="https://journals.physiology.org/doi/abs/10.1152/physiolgenomics.00082.2014" TargetMode="External"/><Relationship Id="rId71" Type="http://schemas.openxmlformats.org/officeDocument/2006/relationships/hyperlink" Target="https://www.frontiersin.org/articles/10.3389/fped.2015.00017/full" TargetMode="External"/><Relationship Id="rId70" Type="http://schemas.openxmlformats.org/officeDocument/2006/relationships/hyperlink" Target="https://microbiomejournal.biomedcentral.com/articles/10.1186/s40168-015-0101-x" TargetMode="External"/><Relationship Id="rId62" Type="http://schemas.openxmlformats.org/officeDocument/2006/relationships/hyperlink" Target="https://academic.oup.com/nutritionreviews/article-abstract/76/7/481/4985887" TargetMode="External"/><Relationship Id="rId61" Type="http://schemas.openxmlformats.org/officeDocument/2006/relationships/hyperlink" Target="https://aacrjournals.org/cancerpreventionresearch/article-abstract/7/11/1112/50234" TargetMode="External"/><Relationship Id="rId64" Type="http://schemas.openxmlformats.org/officeDocument/2006/relationships/hyperlink" Target="https://www.ncbi.nlm.nih.gov/pmc/articles/PMC5082693/" TargetMode="External"/><Relationship Id="rId63" Type="http://schemas.openxmlformats.org/officeDocument/2006/relationships/hyperlink" Target="https://www.sciencedirect.com/science/article/pii/S0929664618304376" TargetMode="External"/><Relationship Id="rId66" Type="http://schemas.openxmlformats.org/officeDocument/2006/relationships/hyperlink" Target="https://www.frontiersin.org/articles/10.3389/fcimb.2017.00381/full" TargetMode="External"/><Relationship Id="rId65" Type="http://schemas.openxmlformats.org/officeDocument/2006/relationships/hyperlink" Target="https://link.springer.com/article/10.1007/s11912-016-0528-7" TargetMode="External"/><Relationship Id="rId68" Type="http://schemas.openxmlformats.org/officeDocument/2006/relationships/hyperlink" Target="https://royalsocietypublishing.org/doi/abs/10.1098/rsob.190128" TargetMode="External"/><Relationship Id="rId67" Type="http://schemas.openxmlformats.org/officeDocument/2006/relationships/hyperlink" Target="https://www.degruyter.com/document/doi/10.1515/revneuro-2017-0072/html" TargetMode="External"/><Relationship Id="rId60" Type="http://schemas.openxmlformats.org/officeDocument/2006/relationships/hyperlink" Target="https://www.sciencedirect.com/science/article/pii/S1542356518310085" TargetMode="External"/><Relationship Id="rId69" Type="http://schemas.openxmlformats.org/officeDocument/2006/relationships/hyperlink" Target="https://aspenjournals.onlinelibrary.wiley.com/doi/abs/10.1177/0884533615609899" TargetMode="External"/><Relationship Id="rId51" Type="http://schemas.openxmlformats.org/officeDocument/2006/relationships/hyperlink" Target="https://digitalcommons.unl.edu/foodsciefacpub/369/" TargetMode="External"/><Relationship Id="rId50" Type="http://schemas.openxmlformats.org/officeDocument/2006/relationships/hyperlink" Target="https://www.sciencedirect.com/science/article/pii/S0163725815002259" TargetMode="External"/><Relationship Id="rId53" Type="http://schemas.openxmlformats.org/officeDocument/2006/relationships/hyperlink" Target="https://gut.bmj.com/content/65/12/2035.short" TargetMode="External"/><Relationship Id="rId52" Type="http://schemas.openxmlformats.org/officeDocument/2006/relationships/hyperlink" Target="https://journals.asm.org/doi/abs/10.1128/mbio.00692-13" TargetMode="External"/><Relationship Id="rId55" Type="http://schemas.openxmlformats.org/officeDocument/2006/relationships/hyperlink" Target="https://www.sciencedirect.com/science/article/pii/S0955286318303073" TargetMode="External"/><Relationship Id="rId54" Type="http://schemas.openxmlformats.org/officeDocument/2006/relationships/hyperlink" Target="https://genomemedicine.biomedcentral.com/articles/10.1186/gm228" TargetMode="External"/><Relationship Id="rId57" Type="http://schemas.openxmlformats.org/officeDocument/2006/relationships/hyperlink" Target="https://link.springer.com/article/10.1007/s10620-020-06112-w" TargetMode="External"/><Relationship Id="rId56" Type="http://schemas.openxmlformats.org/officeDocument/2006/relationships/hyperlink" Target="https://www.sciencedirect.com/science/article/pii/S0009898115000170" TargetMode="External"/><Relationship Id="rId59" Type="http://schemas.openxmlformats.org/officeDocument/2006/relationships/hyperlink" Target="https://www.sciencedirect.com/science/article/pii/S0016508520355086" TargetMode="External"/><Relationship Id="rId58" Type="http://schemas.openxmlformats.org/officeDocument/2006/relationships/hyperlink" Target="https://www.cambridge.org/core/journals/british-journal-of-nutrition/article/dietary-effects-on-human-gut-microbiome-diversity/E9B592DB4E5C570C6D5142B99CE74D3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5" max="5" width="26.5"/>
    <col customWidth="1" min="8" max="8" width="97.5"/>
  </cols>
  <sheetData>
    <row r="1">
      <c r="A1" s="1" t="s">
        <v>0</v>
      </c>
      <c r="B1" s="1" t="s">
        <v>1</v>
      </c>
      <c r="C1" s="1" t="s">
        <v>2</v>
      </c>
      <c r="D1" s="1" t="s">
        <v>3</v>
      </c>
      <c r="E1" s="1" t="s">
        <v>4</v>
      </c>
      <c r="F1" s="1" t="s">
        <v>5</v>
      </c>
      <c r="G1" s="1" t="s">
        <v>6</v>
      </c>
    </row>
    <row r="2">
      <c r="A2" s="1" t="s">
        <v>7</v>
      </c>
      <c r="B2" s="1" t="s">
        <v>8</v>
      </c>
      <c r="C2" s="1">
        <v>8089.0</v>
      </c>
      <c r="D2" s="1">
        <v>2014.0</v>
      </c>
      <c r="E2" s="1" t="s">
        <v>9</v>
      </c>
      <c r="F2" s="2" t="s">
        <v>10</v>
      </c>
      <c r="G2" s="1">
        <v>899.0</v>
      </c>
      <c r="H2" s="3" t="str">
        <f>IFERROR(__xludf.DUMMYFUNCTION("GOOGLETRANSLATE(B2, ""EN"", ""JA"")"),"食事は迅速かつ再現性があり、ヒト腸内微生物叢を変化させます")</f>
        <v>食事は迅速かつ再現性があり、ヒト腸内微生物叢を変化させます</v>
      </c>
    </row>
    <row r="3">
      <c r="A3" s="1" t="s">
        <v>11</v>
      </c>
      <c r="B3" s="1" t="s">
        <v>12</v>
      </c>
      <c r="C3" s="1">
        <v>12097.0</v>
      </c>
      <c r="D3" s="1">
        <v>2006.0</v>
      </c>
      <c r="E3" s="1" t="s">
        <v>13</v>
      </c>
      <c r="F3" s="2" t="s">
        <v>14</v>
      </c>
      <c r="G3" s="1">
        <v>712.0</v>
      </c>
      <c r="H3" s="3" t="str">
        <f>IFERROR(__xludf.DUMMYFUNCTION("GOOGLETRANSLATE(B3, ""EN"", ""JA"")"),"エネルギー収穫の能力が向上した肥満関連腸内微生物叢")</f>
        <v>エネルギー収穫の能力が向上した肥満関連腸内微生物叢</v>
      </c>
    </row>
    <row r="4">
      <c r="A4" s="1" t="s">
        <v>15</v>
      </c>
      <c r="B4" s="1" t="s">
        <v>16</v>
      </c>
      <c r="C4" s="1">
        <v>6961.0</v>
      </c>
      <c r="D4" s="1">
        <v>2012.0</v>
      </c>
      <c r="E4" s="1" t="s">
        <v>13</v>
      </c>
      <c r="F4" s="2" t="s">
        <v>17</v>
      </c>
      <c r="G4" s="1">
        <v>633.0</v>
      </c>
      <c r="H4" s="3" t="str">
        <f>IFERROR(__xludf.DUMMYFUNCTION("GOOGLETRANSLATE(B4, ""EN"", ""JA"")"),"年齢と地理で見られるヒト腸内微生物叢")</f>
        <v>年齢と地理で見られるヒト腸内微生物叢</v>
      </c>
    </row>
    <row r="5">
      <c r="A5" s="1" t="s">
        <v>18</v>
      </c>
      <c r="B5" s="1" t="s">
        <v>19</v>
      </c>
      <c r="C5" s="1">
        <v>8231.0</v>
      </c>
      <c r="D5" s="1">
        <v>2009.0</v>
      </c>
      <c r="E5" s="1" t="s">
        <v>13</v>
      </c>
      <c r="F5" s="2" t="s">
        <v>20</v>
      </c>
      <c r="G5" s="1">
        <v>588.0</v>
      </c>
      <c r="H5" s="3" t="str">
        <f>IFERROR(__xludf.DUMMYFUNCTION("GOOGLETRANSLATE(B5, ""EN"", ""JA"")"),"肥満と無駄のない双子のコア腸内微生物叢")</f>
        <v>肥満と無駄のない双子のコア腸内微生物叢</v>
      </c>
    </row>
    <row r="6">
      <c r="A6" s="1" t="s">
        <v>21</v>
      </c>
      <c r="B6" s="1" t="s">
        <v>22</v>
      </c>
      <c r="C6" s="1">
        <v>6853.0</v>
      </c>
      <c r="D6" s="1">
        <v>2011.0</v>
      </c>
      <c r="E6" s="1" t="s">
        <v>13</v>
      </c>
      <c r="F6" s="2" t="s">
        <v>23</v>
      </c>
      <c r="G6" s="1">
        <v>571.0</v>
      </c>
      <c r="H6" s="3" t="str">
        <f>IFERROR(__xludf.DUMMYFUNCTION("GOOGLETRANSLATE(B6, ""EN"", ""JA"")"),"ヒト腸内微生物叢の腸型")</f>
        <v>ヒト腸内微生物叢の腸型</v>
      </c>
    </row>
    <row r="7">
      <c r="A7" s="1" t="s">
        <v>24</v>
      </c>
      <c r="B7" s="1" t="s">
        <v>25</v>
      </c>
      <c r="C7" s="1">
        <v>2683.0</v>
      </c>
      <c r="D7" s="1">
        <v>2015.0</v>
      </c>
      <c r="E7" s="1" t="s">
        <v>26</v>
      </c>
      <c r="F7" s="2" t="s">
        <v>27</v>
      </c>
      <c r="G7" s="1">
        <v>335.0</v>
      </c>
      <c r="H7" s="3" t="str">
        <f>IFERROR(__xludf.DUMMYFUNCTION("GOOGLETRANSLATE(B7, ""EN"", ""JA"")"),"人生の最初の年の間に人間の腸内微生物叢のダイナミクスと安定化")</f>
        <v>人生の最初の年の間に人間の腸内微生物叢のダイナミクスと安定化</v>
      </c>
    </row>
    <row r="8">
      <c r="A8" s="1" t="s">
        <v>28</v>
      </c>
      <c r="B8" s="1" t="s">
        <v>29</v>
      </c>
      <c r="C8" s="1">
        <v>5181.0</v>
      </c>
      <c r="D8" s="1">
        <v>2006.0</v>
      </c>
      <c r="E8" s="1" t="s">
        <v>30</v>
      </c>
      <c r="F8" s="2" t="s">
        <v>31</v>
      </c>
      <c r="G8" s="1">
        <v>305.0</v>
      </c>
      <c r="H8" s="3" t="str">
        <f>IFERROR(__xludf.DUMMYFUNCTION("GOOGLETRANSLATE(B8, ""EN"", ""JA"")"),"ヒト遠位腸内微生物叢のメタゲノム分析")</f>
        <v>ヒト遠位腸内微生物叢のメタゲノム分析</v>
      </c>
    </row>
    <row r="9">
      <c r="A9" s="1" t="s">
        <v>32</v>
      </c>
      <c r="B9" s="1" t="s">
        <v>33</v>
      </c>
      <c r="C9" s="1">
        <v>2604.0</v>
      </c>
      <c r="D9" s="1">
        <v>2014.0</v>
      </c>
      <c r="E9" s="1" t="s">
        <v>34</v>
      </c>
      <c r="F9" s="2" t="s">
        <v>35</v>
      </c>
      <c r="G9" s="1">
        <v>289.0</v>
      </c>
      <c r="H9" s="3" t="str">
        <f>IFERROR(__xludf.DUMMYFUNCTION("GOOGLETRANSLATE(B9, ""EN"", ""JA"")"),"人間の遺伝学は腸内微生物叢を形作ります")</f>
        <v>人間の遺伝学は腸内微生物叢を形作ります</v>
      </c>
    </row>
    <row r="10">
      <c r="A10" s="1" t="s">
        <v>36</v>
      </c>
      <c r="B10" s="1" t="s">
        <v>37</v>
      </c>
      <c r="C10" s="1">
        <v>1684.0</v>
      </c>
      <c r="D10" s="1">
        <v>2016.0</v>
      </c>
      <c r="E10" s="1" t="s">
        <v>38</v>
      </c>
      <c r="F10" s="2" t="s">
        <v>39</v>
      </c>
      <c r="G10" s="1">
        <v>241.0</v>
      </c>
      <c r="H10" s="3" t="str">
        <f>IFERROR(__xludf.DUMMYFUNCTION("GOOGLETRANSLATE(B10, ""EN"", ""JA"")"),"腸内マイクロビオームの変動の人口レベルの分析")</f>
        <v>腸内マイクロビオームの変動の人口レベルの分析</v>
      </c>
    </row>
    <row r="11">
      <c r="A11" s="1" t="s">
        <v>40</v>
      </c>
      <c r="B11" s="1" t="s">
        <v>41</v>
      </c>
      <c r="C11" s="1">
        <v>2614.0</v>
      </c>
      <c r="D11" s="1">
        <v>2011.0</v>
      </c>
      <c r="E11" s="1" t="s">
        <v>9</v>
      </c>
      <c r="F11" s="2" t="s">
        <v>42</v>
      </c>
      <c r="G11" s="1">
        <v>218.0</v>
      </c>
      <c r="H11" s="3" t="str">
        <f>IFERROR(__xludf.DUMMYFUNCTION("GOOGLETRANSLATE(B11, ""EN"", ""JA"")"),"人間の栄養、腸内微生物叢、免疫系")</f>
        <v>人間の栄養、腸内微生物叢、免疫系</v>
      </c>
    </row>
    <row r="12">
      <c r="A12" s="1" t="s">
        <v>43</v>
      </c>
      <c r="B12" s="1" t="s">
        <v>44</v>
      </c>
      <c r="C12" s="1">
        <v>844.0</v>
      </c>
      <c r="D12" s="1">
        <v>2019.0</v>
      </c>
      <c r="E12" s="1" t="s">
        <v>45</v>
      </c>
      <c r="F12" s="2" t="s">
        <v>46</v>
      </c>
      <c r="G12" s="1">
        <v>211.0</v>
      </c>
      <c r="H12" s="3" t="str">
        <f>IFERROR(__xludf.DUMMYFUNCTION("GOOGLETRANSLATE(B12, ""EN"", ""JA"")"),"炎症性腸疾患における腸内ミクロビオーム構造と代謝活性")</f>
        <v>炎症性腸疾患における腸内ミクロビオーム構造と代謝活性</v>
      </c>
    </row>
    <row r="13">
      <c r="A13" s="1" t="s">
        <v>47</v>
      </c>
      <c r="B13" s="1" t="s">
        <v>48</v>
      </c>
      <c r="C13" s="1">
        <v>972.0</v>
      </c>
      <c r="D13" s="1">
        <v>2018.0</v>
      </c>
      <c r="E13" s="1" t="s">
        <v>49</v>
      </c>
      <c r="F13" s="2" t="s">
        <v>50</v>
      </c>
      <c r="G13" s="1">
        <v>194.0</v>
      </c>
      <c r="H13" s="3" t="str">
        <f>IFERROR(__xludf.DUMMYFUNCTION("GOOGLETRANSLATE(B13, ""EN"", ""JA"")"),"人間の腸内微生物叢：希望、脅威、約束")</f>
        <v>人間の腸内微生物叢：希望、脅威、約束</v>
      </c>
    </row>
    <row r="14">
      <c r="A14" s="1" t="s">
        <v>51</v>
      </c>
      <c r="B14" s="1" t="s">
        <v>52</v>
      </c>
      <c r="C14" s="1">
        <v>1102.0</v>
      </c>
      <c r="D14" s="1">
        <v>2017.0</v>
      </c>
      <c r="E14" s="1" t="s">
        <v>53</v>
      </c>
      <c r="F14" s="2" t="s">
        <v>54</v>
      </c>
      <c r="G14" s="1">
        <v>184.0</v>
      </c>
      <c r="H14" s="3" t="str">
        <f>IFERROR(__xludf.DUMMYFUNCTION("GOOGLETRANSLATE(B14, ""EN"", ""JA"")"),"アルツハイマー病の腸内ミクロビオームの変化")</f>
        <v>アルツハイマー病の腸内ミクロビオームの変化</v>
      </c>
    </row>
    <row r="15">
      <c r="A15" s="1" t="s">
        <v>55</v>
      </c>
      <c r="B15" s="1" t="s">
        <v>56</v>
      </c>
      <c r="C15" s="1">
        <v>1378.0</v>
      </c>
      <c r="D15" s="1">
        <v>2015.0</v>
      </c>
      <c r="E15" s="1" t="s">
        <v>57</v>
      </c>
      <c r="F15" s="2" t="s">
        <v>58</v>
      </c>
      <c r="G15" s="1">
        <v>172.0</v>
      </c>
      <c r="H15" s="3" t="str">
        <f>IFERROR(__xludf.DUMMYFUNCTION("GOOGLETRANSLATE(B15, ""EN"", ""JA"")"),"健康と病気における腸内微生物叢")</f>
        <v>健康と病気における腸内微生物叢</v>
      </c>
    </row>
    <row r="16">
      <c r="A16" s="1" t="s">
        <v>59</v>
      </c>
      <c r="B16" s="1" t="s">
        <v>60</v>
      </c>
      <c r="C16" s="1">
        <v>475.0</v>
      </c>
      <c r="D16" s="1">
        <v>2020.0</v>
      </c>
      <c r="E16" s="1" t="s">
        <v>61</v>
      </c>
      <c r="F16" s="2" t="s">
        <v>62</v>
      </c>
      <c r="G16" s="1">
        <v>158.0</v>
      </c>
      <c r="H16" s="3" t="str">
        <f>IFERROR(__xludf.DUMMYFUNCTION("GOOGLETRANSLATE(B16, ""EN"", ""JA"")"),"神経障害における腸内微生物叢")</f>
        <v>神経障害における腸内微生物叢</v>
      </c>
    </row>
    <row r="17">
      <c r="A17" s="1" t="s">
        <v>63</v>
      </c>
      <c r="B17" s="1" t="s">
        <v>64</v>
      </c>
      <c r="C17" s="1">
        <v>750.0</v>
      </c>
      <c r="D17" s="1">
        <v>2018.0</v>
      </c>
      <c r="E17" s="1" t="s">
        <v>65</v>
      </c>
      <c r="F17" s="2" t="s">
        <v>66</v>
      </c>
      <c r="G17" s="1">
        <v>150.0</v>
      </c>
      <c r="H17" s="3" t="str">
        <f>IFERROR(__xludf.DUMMYFUNCTION("GOOGLETRANSLATE(B17, ""EN"", ""JA"")"),"脳腸腸菌軸")</f>
        <v>脳腸腸菌軸</v>
      </c>
    </row>
    <row r="18">
      <c r="A18" s="1" t="s">
        <v>67</v>
      </c>
      <c r="B18" s="1" t="s">
        <v>68</v>
      </c>
      <c r="C18" s="1">
        <v>870.0</v>
      </c>
      <c r="D18" s="1">
        <v>2017.0</v>
      </c>
      <c r="E18" s="1" t="s">
        <v>45</v>
      </c>
      <c r="F18" s="2" t="s">
        <v>69</v>
      </c>
      <c r="G18" s="1">
        <v>145.0</v>
      </c>
      <c r="H18" s="3" t="str">
        <f>IFERROR(__xludf.DUMMYFUNCTION("GOOGLETRANSLATE(B18, ""EN"", ""JA"")"),"アテローム性動脈硬化性心血管疾患における腸内微生物叢")</f>
        <v>アテローム性動脈硬化性心血管疾患における腸内微生物叢</v>
      </c>
    </row>
    <row r="19">
      <c r="A19" s="1" t="s">
        <v>70</v>
      </c>
      <c r="B19" s="1" t="s">
        <v>71</v>
      </c>
      <c r="C19" s="1">
        <v>828.0</v>
      </c>
      <c r="D19" s="1">
        <v>2017.0</v>
      </c>
      <c r="E19" s="1" t="s">
        <v>45</v>
      </c>
      <c r="F19" s="2" t="s">
        <v>72</v>
      </c>
      <c r="G19" s="1">
        <v>138.0</v>
      </c>
      <c r="H19" s="3" t="str">
        <f>IFERROR(__xludf.DUMMYFUNCTION("GOOGLETRANSLATE(B19, ""EN"", ""JA"")"),"炎症性腸疾患におけるヒト腸内微生物叢のダイナミクス")</f>
        <v>炎症性腸疾患におけるヒト腸内微生物叢のダイナミクス</v>
      </c>
    </row>
    <row r="20">
      <c r="A20" s="1" t="s">
        <v>73</v>
      </c>
      <c r="B20" s="1" t="s">
        <v>74</v>
      </c>
      <c r="C20" s="1">
        <v>950.0</v>
      </c>
      <c r="D20" s="1">
        <v>2016.0</v>
      </c>
      <c r="E20" s="1" t="s">
        <v>34</v>
      </c>
      <c r="F20" s="2" t="s">
        <v>75</v>
      </c>
      <c r="G20" s="1">
        <v>136.0</v>
      </c>
      <c r="H20" s="3" t="str">
        <f>IFERROR(__xludf.DUMMYFUNCTION("GOOGLETRANSLATE(B20, ""EN"", ""JA"")"),"中枢神経系と腸内微生物叢")</f>
        <v>中枢神経系と腸内微生物叢</v>
      </c>
    </row>
    <row r="21">
      <c r="A21" s="1" t="s">
        <v>76</v>
      </c>
      <c r="B21" s="1" t="s">
        <v>77</v>
      </c>
      <c r="C21" s="1">
        <v>663.0</v>
      </c>
      <c r="D21" s="1">
        <v>2018.0</v>
      </c>
      <c r="E21" s="1" t="s">
        <v>78</v>
      </c>
      <c r="F21" s="2" t="s">
        <v>79</v>
      </c>
      <c r="G21" s="1">
        <v>133.0</v>
      </c>
      <c r="H21" s="3" t="str">
        <f>IFERROR(__xludf.DUMMYFUNCTION("GOOGLETRANSLATE(B21, ""EN"", ""JA"")"),"ヒト腸内マイクロビオーム - ウェルネスと病気の潜在的なコントローラー")</f>
        <v>ヒト腸内マイクロビオーム - ウェルネスと病気の潜在的なコントローラー</v>
      </c>
    </row>
    <row r="22">
      <c r="A22" s="1" t="s">
        <v>80</v>
      </c>
      <c r="B22" s="1" t="s">
        <v>81</v>
      </c>
      <c r="C22" s="1">
        <v>919.0</v>
      </c>
      <c r="D22" s="1">
        <v>2016.0</v>
      </c>
      <c r="E22" s="1" t="s">
        <v>45</v>
      </c>
      <c r="F22" s="2" t="s">
        <v>82</v>
      </c>
      <c r="G22" s="1">
        <v>131.0</v>
      </c>
      <c r="H22" s="3" t="str">
        <f>IFERROR(__xludf.DUMMYFUNCTION("GOOGLETRANSLATE(B22, ""EN"", ""JA"")"),"多発性硬化症におけるヒト腸内微生物叢の変化")</f>
        <v>多発性硬化症におけるヒト腸内微生物叢の変化</v>
      </c>
    </row>
    <row r="23">
      <c r="A23" s="1" t="s">
        <v>83</v>
      </c>
      <c r="B23" s="1" t="s">
        <v>84</v>
      </c>
      <c r="C23" s="1">
        <v>518.0</v>
      </c>
      <c r="D23" s="1">
        <v>2019.0</v>
      </c>
      <c r="E23" s="1" t="s">
        <v>85</v>
      </c>
      <c r="F23" s="2" t="s">
        <v>86</v>
      </c>
      <c r="G23" s="1">
        <v>130.0</v>
      </c>
      <c r="H23" s="3" t="str">
        <f>IFERROR(__xludf.DUMMYFUNCTION("GOOGLETRANSLATE(B23, ""EN"", ""JA"")"),"腸内微生物叢：食事と病気に対する深い影響")</f>
        <v>腸内微生物叢：食事と病気に対する深い影響</v>
      </c>
    </row>
    <row r="24">
      <c r="A24" s="1" t="s">
        <v>87</v>
      </c>
      <c r="B24" s="1" t="s">
        <v>88</v>
      </c>
      <c r="C24" s="1">
        <v>1516.0</v>
      </c>
      <c r="D24" s="1">
        <v>2011.0</v>
      </c>
      <c r="E24" s="1" t="s">
        <v>89</v>
      </c>
      <c r="F24" s="2" t="s">
        <v>90</v>
      </c>
      <c r="G24" s="1">
        <v>126.0</v>
      </c>
      <c r="H24" s="3" t="str">
        <f>IFERROR(__xludf.DUMMYFUNCTION("GOOGLETRANSLATE(B24, ""EN"", ""JA"")"),"腸内微生物叢に対する環境と宿主の遺伝子型の影響を解明する")</f>
        <v>腸内微生物叢に対する環境と宿主の遺伝子型の影響を解明する</v>
      </c>
    </row>
    <row r="25">
      <c r="A25" s="1" t="s">
        <v>91</v>
      </c>
      <c r="B25" s="1" t="s">
        <v>92</v>
      </c>
      <c r="C25" s="1">
        <v>862.0</v>
      </c>
      <c r="D25" s="1">
        <v>2016.0</v>
      </c>
      <c r="E25" s="1" t="s">
        <v>49</v>
      </c>
      <c r="F25" s="2" t="s">
        <v>93</v>
      </c>
      <c r="G25" s="1">
        <v>123.0</v>
      </c>
      <c r="H25" s="3" t="str">
        <f>IFERROR(__xludf.DUMMYFUNCTION("GOOGLETRANSLATE(B25, ""EN"", ""JA"")"),"プロトンポンプ阻害剤は、腸内微生物叢に影響を与えます")</f>
        <v>プロトンポンプ阻害剤は、腸内微生物叢に影響を与えます</v>
      </c>
    </row>
    <row r="26">
      <c r="A26" s="1" t="s">
        <v>94</v>
      </c>
      <c r="B26" s="1" t="s">
        <v>95</v>
      </c>
      <c r="C26" s="1">
        <v>481.0</v>
      </c>
      <c r="D26" s="1">
        <v>2019.0</v>
      </c>
      <c r="E26" s="1" t="s">
        <v>96</v>
      </c>
      <c r="F26" s="2" t="s">
        <v>97</v>
      </c>
      <c r="G26" s="1">
        <v>120.0</v>
      </c>
      <c r="H26" s="3" t="str">
        <f>IFERROR(__xludf.DUMMYFUNCTION("GOOGLETRANSLATE(B26, ""EN"", ""JA"")"),"腸内微生物叢：病気との関係と治療の機会")</f>
        <v>腸内微生物叢：病気との関係と治療の機会</v>
      </c>
    </row>
    <row r="27">
      <c r="A27" s="1" t="s">
        <v>98</v>
      </c>
      <c r="B27" s="1" t="s">
        <v>99</v>
      </c>
      <c r="C27" s="1">
        <v>816.0</v>
      </c>
      <c r="D27" s="1">
        <v>2016.0</v>
      </c>
      <c r="E27" s="1" t="s">
        <v>26</v>
      </c>
      <c r="F27" s="2" t="s">
        <v>100</v>
      </c>
      <c r="G27" s="1">
        <v>117.0</v>
      </c>
      <c r="H27" s="3" t="str">
        <f>IFERROR(__xludf.DUMMYFUNCTION("GOOGLETRANSLATE(B27, ""EN"", ""JA"")"),"英国の双子の腸内微生物叢の遺伝的決定因子")</f>
        <v>英国の双子の腸内微生物叢の遺伝的決定因子</v>
      </c>
    </row>
    <row r="28">
      <c r="A28" s="1" t="s">
        <v>101</v>
      </c>
      <c r="B28" s="1" t="s">
        <v>102</v>
      </c>
      <c r="C28" s="1">
        <v>796.0</v>
      </c>
      <c r="D28" s="1">
        <v>2016.0</v>
      </c>
      <c r="E28" s="1" t="s">
        <v>34</v>
      </c>
      <c r="F28" s="2" t="s">
        <v>103</v>
      </c>
      <c r="G28" s="1">
        <v>114.0</v>
      </c>
      <c r="H28" s="3" t="str">
        <f>IFERROR(__xludf.DUMMYFUNCTION("GOOGLETRANSLATE(B28, ""EN"", ""JA"")"),"ヒト腸内微生物叢を炎症性サイトカイン生産能力にリンクする")</f>
        <v>ヒト腸内微生物叢を炎症性サイトカイン生産能力にリンクする</v>
      </c>
    </row>
    <row r="29">
      <c r="A29" s="1" t="s">
        <v>104</v>
      </c>
      <c r="B29" s="1" t="s">
        <v>105</v>
      </c>
      <c r="C29" s="1">
        <v>974.0</v>
      </c>
      <c r="D29" s="1">
        <v>2014.0</v>
      </c>
      <c r="E29" s="1" t="s">
        <v>57</v>
      </c>
      <c r="F29" s="2" t="s">
        <v>106</v>
      </c>
      <c r="G29" s="1">
        <v>108.0</v>
      </c>
      <c r="H29" s="3" t="str">
        <f>IFERROR(__xludf.DUMMYFUNCTION("GOOGLETRANSLATE(B29, ""EN"", ""JA"")"),"胆汁酸と腸内微生物叢")</f>
        <v>胆汁酸と腸内微生物叢</v>
      </c>
    </row>
    <row r="30">
      <c r="A30" s="1" t="s">
        <v>107</v>
      </c>
      <c r="B30" s="1" t="s">
        <v>108</v>
      </c>
      <c r="C30" s="1">
        <v>529.0</v>
      </c>
      <c r="D30" s="1">
        <v>2018.0</v>
      </c>
      <c r="E30" s="1" t="s">
        <v>34</v>
      </c>
      <c r="F30" s="2" t="s">
        <v>109</v>
      </c>
      <c r="G30" s="1">
        <v>106.0</v>
      </c>
      <c r="H30" s="3" t="str">
        <f>IFERROR(__xludf.DUMMYFUNCTION("GOOGLETRANSLATE(B30, ""EN"", ""JA"")"),"ヒト腸内微生物叢：関連から変調まで")</f>
        <v>ヒト腸内微生物叢：関連から変調まで</v>
      </c>
    </row>
    <row r="31">
      <c r="A31" s="1" t="s">
        <v>110</v>
      </c>
      <c r="B31" s="1" t="s">
        <v>111</v>
      </c>
      <c r="C31" s="1">
        <v>500.0</v>
      </c>
      <c r="D31" s="1">
        <v>2018.0</v>
      </c>
      <c r="E31" s="1" t="s">
        <v>112</v>
      </c>
      <c r="F31" s="2" t="s">
        <v>113</v>
      </c>
      <c r="G31" s="1">
        <v>100.0</v>
      </c>
      <c r="H31" s="3" t="str">
        <f>IFERROR(__xludf.DUMMYFUNCTION("GOOGLETRANSLATE(B31, ""EN"", ""JA"")"),"健康と病気におけるヒト腸内微生物叢")</f>
        <v>健康と病気におけるヒト腸内微生物叢</v>
      </c>
    </row>
    <row r="32">
      <c r="A32" s="1" t="s">
        <v>114</v>
      </c>
      <c r="B32" s="1" t="s">
        <v>115</v>
      </c>
      <c r="C32" s="1">
        <v>1064.0</v>
      </c>
      <c r="D32" s="1">
        <v>2012.0</v>
      </c>
      <c r="E32" s="1" t="s">
        <v>116</v>
      </c>
      <c r="F32" s="2" t="s">
        <v>117</v>
      </c>
      <c r="G32" s="1">
        <v>97.0</v>
      </c>
      <c r="H32" s="3" t="str">
        <f>IFERROR(__xludf.DUMMYFUNCTION("GOOGLETRANSLATE(B32, ""EN"", ""JA"")"),"微生物培養：ヒト腸内微生物叢研究のパラダイムシフト")</f>
        <v>微生物培養：ヒト腸内微生物叢研究のパラダイムシフト</v>
      </c>
    </row>
    <row r="33">
      <c r="A33" s="1" t="s">
        <v>118</v>
      </c>
      <c r="B33" s="1" t="s">
        <v>119</v>
      </c>
      <c r="C33" s="1">
        <v>481.0</v>
      </c>
      <c r="D33" s="1">
        <v>2018.0</v>
      </c>
      <c r="E33" s="1" t="s">
        <v>120</v>
      </c>
      <c r="F33" s="2" t="s">
        <v>121</v>
      </c>
      <c r="G33" s="1">
        <v>96.0</v>
      </c>
      <c r="H33" s="3" t="str">
        <f>IFERROR(__xludf.DUMMYFUNCTION("GOOGLETRANSLATE(B33, ""EN"", ""JA"")"),"肥満における腸内ミクロビオームプロファイル：系統的レビュー")</f>
        <v>肥満における腸内ミクロビオームプロファイル：系統的レビュー</v>
      </c>
    </row>
    <row r="34">
      <c r="A34" s="1" t="s">
        <v>122</v>
      </c>
      <c r="B34" s="1" t="s">
        <v>123</v>
      </c>
      <c r="C34" s="1">
        <v>450.0</v>
      </c>
      <c r="D34" s="1">
        <v>2018.0</v>
      </c>
      <c r="E34" s="1" t="s">
        <v>34</v>
      </c>
      <c r="F34" s="2" t="s">
        <v>124</v>
      </c>
      <c r="G34" s="1">
        <v>90.0</v>
      </c>
      <c r="H34" s="3" t="str">
        <f>IFERROR(__xludf.DUMMYFUNCTION("GOOGLETRANSLATE(B34, ""EN"", ""JA"")"),"米国移民は、人間の腸内微生物叢を西洋化します")</f>
        <v>米国移民は、人間の腸内微生物叢を西洋化します</v>
      </c>
    </row>
    <row r="35">
      <c r="A35" s="1" t="s">
        <v>125</v>
      </c>
      <c r="B35" s="1" t="s">
        <v>126</v>
      </c>
      <c r="C35" s="1">
        <v>344.0</v>
      </c>
      <c r="D35" s="1">
        <v>2019.0</v>
      </c>
      <c r="E35" s="1" t="s">
        <v>45</v>
      </c>
      <c r="F35" s="2" t="s">
        <v>127</v>
      </c>
      <c r="G35" s="1">
        <v>86.0</v>
      </c>
      <c r="H35" s="3" t="str">
        <f>IFERROR(__xludf.DUMMYFUNCTION("GOOGLETRANSLATE(B35, ""EN"", ""JA"")"),"ヒト腸内微生物叢と宿主代謝の相互作用")</f>
        <v>ヒト腸内微生物叢と宿主代謝の相互作用</v>
      </c>
    </row>
    <row r="36">
      <c r="A36" s="1" t="s">
        <v>128</v>
      </c>
      <c r="B36" s="1" t="s">
        <v>129</v>
      </c>
      <c r="C36" s="1">
        <v>594.0</v>
      </c>
      <c r="D36" s="1">
        <v>2016.0</v>
      </c>
      <c r="E36" s="1" t="s">
        <v>45</v>
      </c>
      <c r="F36" s="2" t="s">
        <v>130</v>
      </c>
      <c r="G36" s="1">
        <v>85.0</v>
      </c>
      <c r="H36" s="3" t="str">
        <f>IFERROR(__xludf.DUMMYFUNCTION("GOOGLETRANSLATE(B36, ""EN"", ""JA"")"),"腸内微生物叢に対する宿主遺伝学の効果")</f>
        <v>腸内微生物叢に対する宿主遺伝学の効果</v>
      </c>
    </row>
    <row r="37">
      <c r="A37" s="1" t="s">
        <v>131</v>
      </c>
      <c r="B37" s="1" t="s">
        <v>132</v>
      </c>
      <c r="C37" s="1">
        <v>826.0</v>
      </c>
      <c r="D37" s="1">
        <v>2013.0</v>
      </c>
      <c r="E37" s="1" t="s">
        <v>133</v>
      </c>
      <c r="F37" s="2" t="s">
        <v>134</v>
      </c>
      <c r="G37" s="1">
        <v>83.0</v>
      </c>
      <c r="H37" s="3" t="str">
        <f>IFERROR(__xludf.DUMMYFUNCTION("GOOGLETRANSLATE(B37, ""EN"", ""JA"")"),"ヒト腸内微生物叢と結腸直腸癌のリスク")</f>
        <v>ヒト腸内微生物叢と結腸直腸癌のリスク</v>
      </c>
    </row>
    <row r="38">
      <c r="A38" s="1" t="s">
        <v>135</v>
      </c>
      <c r="B38" s="1" t="s">
        <v>136</v>
      </c>
      <c r="C38" s="1">
        <v>822.0</v>
      </c>
      <c r="D38" s="1">
        <v>2013.0</v>
      </c>
      <c r="E38" s="1" t="s">
        <v>9</v>
      </c>
      <c r="F38" s="2" t="s">
        <v>137</v>
      </c>
      <c r="G38" s="1">
        <v>82.0</v>
      </c>
      <c r="H38" s="3" t="str">
        <f>IFERROR(__xludf.DUMMYFUNCTION("GOOGLETRANSLATE(B38, ""EN"", ""JA"")"),"ヒト腸内微生物叢のゲノム変動景観")</f>
        <v>ヒト腸内微生物叢のゲノム変動景観</v>
      </c>
    </row>
    <row r="39">
      <c r="A39" s="1" t="s">
        <v>138</v>
      </c>
      <c r="B39" s="1" t="s">
        <v>139</v>
      </c>
      <c r="C39" s="1">
        <v>961.0</v>
      </c>
      <c r="D39" s="1">
        <v>2011.0</v>
      </c>
      <c r="E39" s="1" t="s">
        <v>140</v>
      </c>
      <c r="F39" s="2" t="s">
        <v>141</v>
      </c>
      <c r="G39" s="1">
        <v>80.0</v>
      </c>
      <c r="H39" s="3" t="str">
        <f>IFERROR(__xludf.DUMMYFUNCTION("GOOGLETRANSLATE(B39, ""EN"", ""JA"")"),"腸内微生物叢、肥満、および代謝機能障害")</f>
        <v>腸内微生物叢、肥満、および代謝機能障害</v>
      </c>
    </row>
    <row r="40">
      <c r="A40" s="1" t="s">
        <v>142</v>
      </c>
      <c r="B40" s="1" t="s">
        <v>143</v>
      </c>
      <c r="C40" s="1">
        <v>401.0</v>
      </c>
      <c r="D40" s="1">
        <v>2018.0</v>
      </c>
      <c r="E40" s="1" t="s">
        <v>144</v>
      </c>
      <c r="F40" s="2" t="s">
        <v>145</v>
      </c>
      <c r="G40" s="1">
        <v>80.0</v>
      </c>
      <c r="H40" s="3" t="str">
        <f>IFERROR(__xludf.DUMMYFUNCTION("GOOGLETRANSLATE(B40, ""EN"", ""JA"")"),"ヒト腸内微生物叢：機能が重要です")</f>
        <v>ヒト腸内微生物叢：機能が重要です</v>
      </c>
    </row>
    <row r="41">
      <c r="A41" s="1" t="s">
        <v>146</v>
      </c>
      <c r="B41" s="1" t="s">
        <v>147</v>
      </c>
      <c r="C41" s="1">
        <v>239.0</v>
      </c>
      <c r="D41" s="1">
        <v>2020.0</v>
      </c>
      <c r="E41" s="1" t="s">
        <v>49</v>
      </c>
      <c r="F41" s="2" t="s">
        <v>148</v>
      </c>
      <c r="G41" s="1">
        <v>80.0</v>
      </c>
      <c r="H41" s="3" t="str">
        <f>IFERROR(__xludf.DUMMYFUNCTION("GOOGLETRANSLATE(B41, ""EN"", ""JA"")"),"薬物と腸内微生物叢との相互作用")</f>
        <v>薬物と腸内微生物叢との相互作用</v>
      </c>
    </row>
    <row r="42">
      <c r="A42" s="1" t="s">
        <v>149</v>
      </c>
      <c r="B42" s="1" t="s">
        <v>150</v>
      </c>
      <c r="C42" s="1">
        <v>1095.0</v>
      </c>
      <c r="D42" s="1">
        <v>2009.0</v>
      </c>
      <c r="E42" s="1" t="s">
        <v>151</v>
      </c>
      <c r="F42" s="2" t="s">
        <v>152</v>
      </c>
      <c r="G42" s="1">
        <v>78.0</v>
      </c>
      <c r="H42" s="3" t="str">
        <f>IFERROR(__xludf.DUMMYFUNCTION("GOOGLETRANSLATE(B42, ""EN"", ""JA"")"),"コア腸内微生物叢、エネルギーバランス、肥満")</f>
        <v>コア腸内微生物叢、エネルギーバランス、肥満</v>
      </c>
    </row>
    <row r="43">
      <c r="A43" s="1" t="s">
        <v>153</v>
      </c>
      <c r="B43" s="1" t="s">
        <v>154</v>
      </c>
      <c r="C43" s="1">
        <v>312.0</v>
      </c>
      <c r="D43" s="1">
        <v>2019.0</v>
      </c>
      <c r="E43" s="1" t="s">
        <v>155</v>
      </c>
      <c r="F43" s="2" t="s">
        <v>156</v>
      </c>
      <c r="G43" s="1">
        <v>78.0</v>
      </c>
      <c r="H43" s="3" t="str">
        <f>IFERROR(__xludf.DUMMYFUNCTION("GOOGLETRANSLATE(B43, ""EN"", ""JA"")"),"腸内微生物叢とメタボリックシンドローム")</f>
        <v>腸内微生物叢とメタボリックシンドローム</v>
      </c>
    </row>
    <row r="44">
      <c r="A44" s="1" t="s">
        <v>157</v>
      </c>
      <c r="B44" s="1" t="s">
        <v>158</v>
      </c>
      <c r="C44" s="1">
        <v>375.0</v>
      </c>
      <c r="D44" s="1">
        <v>2018.0</v>
      </c>
      <c r="E44" s="1" t="s">
        <v>78</v>
      </c>
      <c r="F44" s="2" t="s">
        <v>159</v>
      </c>
      <c r="G44" s="1">
        <v>75.0</v>
      </c>
      <c r="H44" s="3" t="str">
        <f>IFERROR(__xludf.DUMMYFUNCTION("GOOGLETRANSLATE(B44, ""EN"", ""JA"")"),"腸皮軸の主要な調節因子としての腸内微生物叢")</f>
        <v>腸皮軸の主要な調節因子としての腸内微生物叢</v>
      </c>
    </row>
    <row r="45">
      <c r="A45" s="1" t="s">
        <v>160</v>
      </c>
      <c r="B45" s="1" t="s">
        <v>161</v>
      </c>
      <c r="C45" s="1">
        <v>441.0</v>
      </c>
      <c r="D45" s="1">
        <v>2017.0</v>
      </c>
      <c r="E45" s="1" t="s">
        <v>34</v>
      </c>
      <c r="F45" s="2" t="s">
        <v>162</v>
      </c>
      <c r="G45" s="1">
        <v>74.0</v>
      </c>
      <c r="H45" s="3" t="str">
        <f>IFERROR(__xludf.DUMMYFUNCTION("GOOGLETRANSLATE(B45, ""EN"", ""JA"")"),"私たちの腸内微生物叢：進化する内なる自己")</f>
        <v>私たちの腸内微生物叢：進化する内なる自己</v>
      </c>
    </row>
    <row r="46">
      <c r="A46" s="1" t="s">
        <v>163</v>
      </c>
      <c r="B46" s="1" t="s">
        <v>164</v>
      </c>
      <c r="C46" s="1">
        <v>409.0</v>
      </c>
      <c r="D46" s="1">
        <v>2017.0</v>
      </c>
      <c r="E46" s="1" t="s">
        <v>165</v>
      </c>
      <c r="F46" s="2" t="s">
        <v>166</v>
      </c>
      <c r="G46" s="1">
        <v>68.0</v>
      </c>
      <c r="H46" s="3" t="str">
        <f>IFERROR(__xludf.DUMMYFUNCTION("GOOGLETRANSLATE(B46, ""EN"", ""JA"")"),"腸内マイクロバイオーム：空間組織を機能させる")</f>
        <v>腸内マイクロバイオーム：空間組織を機能させる</v>
      </c>
    </row>
    <row r="47">
      <c r="A47" s="1" t="s">
        <v>167</v>
      </c>
      <c r="B47" s="1" t="s">
        <v>168</v>
      </c>
      <c r="C47" s="1">
        <v>411.0</v>
      </c>
      <c r="D47" s="1">
        <v>2017.0</v>
      </c>
      <c r="E47" s="1" t="s">
        <v>169</v>
      </c>
      <c r="F47" s="2" t="s">
        <v>170</v>
      </c>
      <c r="G47" s="1">
        <v>68.0</v>
      </c>
      <c r="H47" s="3" t="str">
        <f>IFERROR(__xludf.DUMMYFUNCTION("GOOGLETRANSLATE(B47, ""EN"", ""JA"")"),"ヒト神経疾患における腸内微生物叢：レビュー")</f>
        <v>ヒト神経疾患における腸内微生物叢：レビュー</v>
      </c>
    </row>
    <row r="48">
      <c r="A48" s="1" t="s">
        <v>171</v>
      </c>
      <c r="B48" s="1" t="s">
        <v>172</v>
      </c>
      <c r="C48" s="1">
        <v>612.0</v>
      </c>
      <c r="D48" s="1">
        <v>2014.0</v>
      </c>
      <c r="E48" s="1" t="s">
        <v>173</v>
      </c>
      <c r="F48" s="2" t="s">
        <v>174</v>
      </c>
      <c r="G48" s="1">
        <v>68.0</v>
      </c>
      <c r="H48" s="3" t="str">
        <f>IFERROR(__xludf.DUMMYFUNCTION("GOOGLETRANSLATE(B48, ""EN"", ""JA"")"),"腸内微生物叢と脳")</f>
        <v>腸内微生物叢と脳</v>
      </c>
    </row>
    <row r="49">
      <c r="A49" s="1" t="s">
        <v>175</v>
      </c>
      <c r="B49" s="1" t="s">
        <v>176</v>
      </c>
      <c r="C49" s="1">
        <v>394.0</v>
      </c>
      <c r="D49" s="1">
        <v>2017.0</v>
      </c>
      <c r="E49" s="1" t="s">
        <v>177</v>
      </c>
      <c r="F49" s="2" t="s">
        <v>178</v>
      </c>
      <c r="G49" s="1">
        <v>66.0</v>
      </c>
      <c r="H49" s="3" t="str">
        <f>IFERROR(__xludf.DUMMYFUNCTION("GOOGLETRANSLATE(B49, ""EN"", ""JA"")"),"疾患におけるヒトの遺伝的変異と腸内微生物叢")</f>
        <v>疾患におけるヒトの遺伝的変異と腸内微生物叢</v>
      </c>
    </row>
    <row r="50">
      <c r="A50" s="1" t="s">
        <v>179</v>
      </c>
      <c r="B50" s="1" t="s">
        <v>180</v>
      </c>
      <c r="C50" s="1">
        <v>63.0</v>
      </c>
      <c r="D50" s="1">
        <v>2022.0</v>
      </c>
      <c r="E50" s="1" t="s">
        <v>9</v>
      </c>
      <c r="F50" s="2" t="s">
        <v>181</v>
      </c>
      <c r="G50" s="1">
        <v>63.0</v>
      </c>
      <c r="H50" s="3" t="str">
        <f>IFERROR(__xludf.DUMMYFUNCTION("GOOGLETRANSLATE(B50, ""EN"", ""JA"")"),"オランダの人口における腸内微生物叢を形作る環境要因")</f>
        <v>オランダの人口における腸内微生物叢を形作る環境要因</v>
      </c>
    </row>
    <row r="51">
      <c r="A51" s="1" t="s">
        <v>182</v>
      </c>
      <c r="B51" s="1" t="s">
        <v>183</v>
      </c>
      <c r="C51" s="1">
        <v>437.0</v>
      </c>
      <c r="D51" s="1">
        <v>2016.0</v>
      </c>
      <c r="E51" s="1" t="s">
        <v>184</v>
      </c>
      <c r="F51" s="2" t="s">
        <v>185</v>
      </c>
      <c r="G51" s="1">
        <v>62.0</v>
      </c>
      <c r="H51" s="3" t="str">
        <f>IFERROR(__xludf.DUMMYFUNCTION("GOOGLETRANSLATE(B51, ""EN"", ""JA"")"),"健康と病気における腸内微生物叢：全身性および神経変性の病因におけるミクロビオーム - 腸内脳軸と環境因子をリンクします…")</f>
        <v>健康と病気における腸内微生物叢：全身性および神経変性の病因におけるミクロビオーム - 腸内脳軸と環境因子をリンクします…</v>
      </c>
    </row>
    <row r="52">
      <c r="A52" s="1" t="s">
        <v>186</v>
      </c>
      <c r="B52" s="1" t="s">
        <v>187</v>
      </c>
      <c r="C52" s="1">
        <v>710.0</v>
      </c>
      <c r="D52" s="1">
        <v>2011.0</v>
      </c>
      <c r="F52" s="2" t="s">
        <v>188</v>
      </c>
      <c r="G52" s="1">
        <v>59.0</v>
      </c>
      <c r="H52" s="3" t="str">
        <f>IFERROR(__xludf.DUMMYFUNCTION("GOOGLETRANSLATE(B52, ""EN"", ""JA"")"),"ヒト腸内微生物叢：生態学と最近の進化の変化")</f>
        <v>ヒト腸内微生物叢：生態学と最近の進化の変化</v>
      </c>
    </row>
    <row r="53">
      <c r="A53" s="1" t="s">
        <v>189</v>
      </c>
      <c r="B53" s="1" t="s">
        <v>190</v>
      </c>
      <c r="C53" s="1">
        <v>567.0</v>
      </c>
      <c r="D53" s="1">
        <v>2013.0</v>
      </c>
      <c r="E53" s="1" t="s">
        <v>191</v>
      </c>
      <c r="F53" s="2" t="s">
        <v>192</v>
      </c>
      <c r="G53" s="1">
        <v>57.0</v>
      </c>
      <c r="H53" s="3" t="str">
        <f>IFERROR(__xludf.DUMMYFUNCTION("GOOGLETRANSLATE(B53, ""EN"", ""JA"")"),"腸内微生物叢は、結腸腫瘍形成を調節します")</f>
        <v>腸内微生物叢は、結腸腫瘍形成を調節します</v>
      </c>
    </row>
    <row r="54">
      <c r="A54" s="1" t="s">
        <v>193</v>
      </c>
      <c r="B54" s="1" t="s">
        <v>194</v>
      </c>
      <c r="C54" s="1">
        <v>400.0</v>
      </c>
      <c r="D54" s="1">
        <v>2016.0</v>
      </c>
      <c r="E54" s="1" t="s">
        <v>49</v>
      </c>
      <c r="F54" s="2" t="s">
        <v>195</v>
      </c>
      <c r="G54" s="1">
        <v>57.0</v>
      </c>
      <c r="H54" s="3" t="str">
        <f>IFERROR(__xludf.DUMMYFUNCTION("GOOGLETRANSLATE(B54, ""EN"", ""JA"")"),"腸内微生物叢および肝臓病")</f>
        <v>腸内微生物叢および肝臓病</v>
      </c>
    </row>
    <row r="55">
      <c r="A55" s="1" t="s">
        <v>196</v>
      </c>
      <c r="B55" s="1" t="s">
        <v>197</v>
      </c>
      <c r="C55" s="1">
        <v>668.0</v>
      </c>
      <c r="D55" s="1">
        <v>2011.0</v>
      </c>
      <c r="E55" s="1" t="s">
        <v>198</v>
      </c>
      <c r="F55" s="2" t="s">
        <v>199</v>
      </c>
      <c r="G55" s="1">
        <v>56.0</v>
      </c>
      <c r="H55" s="3" t="str">
        <f>IFERROR(__xludf.DUMMYFUNCTION("GOOGLETRANSLATE(B55, ""EN"", ""JA"")"),"健康と病気における腸内ミクロビオームと宿主の相互作用")</f>
        <v>健康と病気における腸内ミクロビオームと宿主の相互作用</v>
      </c>
    </row>
    <row r="56">
      <c r="A56" s="1" t="s">
        <v>200</v>
      </c>
      <c r="B56" s="1" t="s">
        <v>201</v>
      </c>
      <c r="C56" s="1">
        <v>225.0</v>
      </c>
      <c r="D56" s="1">
        <v>2019.0</v>
      </c>
      <c r="E56" s="1" t="s">
        <v>202</v>
      </c>
      <c r="F56" s="2" t="s">
        <v>203</v>
      </c>
      <c r="G56" s="1">
        <v>56.0</v>
      </c>
      <c r="H56" s="3" t="str">
        <f>IFERROR(__xludf.DUMMYFUNCTION("GOOGLETRANSLATE(B56, ""EN"", ""JA"")"),"腸内微生物叢と2型糖尿病：私たちはどこにいて、どこに行くべきか？")</f>
        <v>腸内微生物叢と2型糖尿病：私たちはどこにいて、どこに行くべきか？</v>
      </c>
    </row>
    <row r="57">
      <c r="A57" s="1" t="s">
        <v>204</v>
      </c>
      <c r="B57" s="1" t="s">
        <v>205</v>
      </c>
      <c r="C57" s="1">
        <v>438.0</v>
      </c>
      <c r="D57" s="1">
        <v>2015.0</v>
      </c>
      <c r="E57" s="1" t="s">
        <v>206</v>
      </c>
      <c r="F57" s="2" t="s">
        <v>207</v>
      </c>
      <c r="G57" s="1">
        <v>55.0</v>
      </c>
      <c r="H57" s="3" t="str">
        <f>IFERROR(__xludf.DUMMYFUNCTION("GOOGLETRANSLATE(B57, ""EN"", ""JA"")"),"健康な成人の状態における腸内微生物叢の役割")</f>
        <v>健康な成人の状態における腸内微生物叢の役割</v>
      </c>
    </row>
    <row r="58">
      <c r="A58" s="1" t="s">
        <v>208</v>
      </c>
      <c r="B58" s="1" t="s">
        <v>209</v>
      </c>
      <c r="C58" s="1">
        <v>160.0</v>
      </c>
      <c r="D58" s="1">
        <v>2020.0</v>
      </c>
      <c r="E58" s="1" t="s">
        <v>210</v>
      </c>
      <c r="F58" s="2" t="s">
        <v>211</v>
      </c>
      <c r="G58" s="1">
        <v>53.0</v>
      </c>
      <c r="H58" s="3" t="str">
        <f>IFERROR(__xludf.DUMMYFUNCTION("GOOGLETRANSLATE(B58, ""EN"", ""JA"")"),"食事と人間の腸内微生物叢：国際的なレビュー")</f>
        <v>食事と人間の腸内微生物叢：国際的なレビュー</v>
      </c>
    </row>
    <row r="59">
      <c r="A59" s="1" t="s">
        <v>212</v>
      </c>
      <c r="B59" s="1" t="s">
        <v>213</v>
      </c>
      <c r="C59" s="1">
        <v>410.0</v>
      </c>
      <c r="D59" s="1">
        <v>2015.0</v>
      </c>
      <c r="E59" s="1" t="s">
        <v>214</v>
      </c>
      <c r="F59" s="2" t="s">
        <v>215</v>
      </c>
      <c r="G59" s="1">
        <v>51.0</v>
      </c>
      <c r="H59" s="3" t="str">
        <f>IFERROR(__xludf.DUMMYFUNCTION("GOOGLETRANSLATE(B59, ""EN"", ""JA"")"),"人間の腸内微生物叢の多様性に対する食事の影響")</f>
        <v>人間の腸内微生物叢の多様性に対する食事の影響</v>
      </c>
    </row>
    <row r="60">
      <c r="A60" s="1" t="s">
        <v>216</v>
      </c>
      <c r="B60" s="1" t="s">
        <v>217</v>
      </c>
      <c r="C60" s="1">
        <v>102.0</v>
      </c>
      <c r="D60" s="1">
        <v>2021.0</v>
      </c>
      <c r="E60" s="1" t="s">
        <v>218</v>
      </c>
      <c r="F60" s="2" t="s">
        <v>219</v>
      </c>
      <c r="G60" s="1">
        <v>51.0</v>
      </c>
      <c r="H60" s="3" t="str">
        <f>IFERROR(__xludf.DUMMYFUNCTION("GOOGLETRANSLATE(B60, ""EN"", ""JA"")"),"健康な微生物叢 - 健康な腸内微生物叢の定義は何ですか？")</f>
        <v>健康な微生物叢 - 健康な腸内微生物叢の定義は何ですか？</v>
      </c>
    </row>
    <row r="61">
      <c r="A61" s="1" t="s">
        <v>220</v>
      </c>
      <c r="B61" s="1" t="s">
        <v>221</v>
      </c>
      <c r="C61" s="1">
        <v>197.0</v>
      </c>
      <c r="D61" s="1">
        <v>2019.0</v>
      </c>
      <c r="E61" s="1" t="s">
        <v>222</v>
      </c>
      <c r="F61" s="2" t="s">
        <v>223</v>
      </c>
      <c r="G61" s="1">
        <v>49.0</v>
      </c>
      <c r="H61" s="3" t="str">
        <f>IFERROR(__xludf.DUMMYFUNCTION("GOOGLETRANSLATE(B61, ""EN"", ""JA"")"),"Microbiome101：臨床医の腸内マイクロビオームデータの研究、分析、解釈")</f>
        <v>Microbiome101：臨床医の腸内マイクロビオームデータの研究、分析、解釈</v>
      </c>
    </row>
    <row r="62">
      <c r="A62" s="1" t="s">
        <v>224</v>
      </c>
      <c r="B62" s="1" t="s">
        <v>225</v>
      </c>
      <c r="C62" s="1">
        <v>422.0</v>
      </c>
      <c r="D62" s="1">
        <v>2014.0</v>
      </c>
      <c r="E62" s="1" t="s">
        <v>226</v>
      </c>
      <c r="F62" s="2" t="s">
        <v>227</v>
      </c>
      <c r="G62" s="1">
        <v>47.0</v>
      </c>
      <c r="H62" s="3" t="str">
        <f>IFERROR(__xludf.DUMMYFUNCTION("GOOGLETRANSLATE(B62, ""EN"", ""JA"")"),"結腸直腸癌のスクリーニングツールとしてのヒト腸内微生物叢")</f>
        <v>結腸直腸癌のスクリーニングツールとしてのヒト腸内微生物叢</v>
      </c>
    </row>
    <row r="63">
      <c r="A63" s="1" t="s">
        <v>228</v>
      </c>
      <c r="B63" s="1" t="s">
        <v>229</v>
      </c>
      <c r="C63" s="1">
        <v>236.0</v>
      </c>
      <c r="D63" s="1">
        <v>2018.0</v>
      </c>
      <c r="E63" s="1" t="s">
        <v>230</v>
      </c>
      <c r="F63" s="2" t="s">
        <v>231</v>
      </c>
      <c r="G63" s="1">
        <v>47.0</v>
      </c>
      <c r="H63" s="3" t="str">
        <f>IFERROR(__xludf.DUMMYFUNCTION("GOOGLETRANSLATE(B63, ""EN"", ""JA"")"),"腸内微生物叢と脳機能の関係")</f>
        <v>腸内微生物叢と脳機能の関係</v>
      </c>
    </row>
    <row r="64">
      <c r="A64" s="1" t="s">
        <v>232</v>
      </c>
      <c r="B64" s="1" t="s">
        <v>233</v>
      </c>
      <c r="C64" s="1">
        <v>183.0</v>
      </c>
      <c r="D64" s="1">
        <v>2019.0</v>
      </c>
      <c r="E64" s="1" t="s">
        <v>234</v>
      </c>
      <c r="F64" s="2" t="s">
        <v>235</v>
      </c>
      <c r="G64" s="1">
        <v>46.0</v>
      </c>
      <c r="H64" s="3" t="str">
        <f>IFERROR(__xludf.DUMMYFUNCTION("GOOGLETRANSLATE(B64, ""EN"", ""JA"")"),"肥満の腸内微生物叢")</f>
        <v>肥満の腸内微生物叢</v>
      </c>
    </row>
    <row r="65">
      <c r="A65" s="1" t="s">
        <v>236</v>
      </c>
      <c r="B65" s="1" t="s">
        <v>237</v>
      </c>
      <c r="C65" s="1">
        <v>319.0</v>
      </c>
      <c r="D65" s="1">
        <v>2016.0</v>
      </c>
      <c r="E65" s="1" t="s">
        <v>238</v>
      </c>
      <c r="F65" s="2" t="s">
        <v>239</v>
      </c>
      <c r="G65" s="1">
        <v>46.0</v>
      </c>
      <c r="H65" s="3" t="str">
        <f>IFERROR(__xludf.DUMMYFUNCTION("GOOGLETRANSLATE(B65, ""EN"", ""JA"")"),"腸内微生物叢と肥満におけるその役割")</f>
        <v>腸内微生物叢と肥満におけるその役割</v>
      </c>
    </row>
    <row r="66">
      <c r="A66" s="1" t="s">
        <v>240</v>
      </c>
      <c r="B66" s="1" t="s">
        <v>241</v>
      </c>
      <c r="C66" s="1">
        <v>306.0</v>
      </c>
      <c r="D66" s="1">
        <v>2016.0</v>
      </c>
      <c r="E66" s="1" t="s">
        <v>242</v>
      </c>
      <c r="F66" s="2" t="s">
        <v>243</v>
      </c>
      <c r="G66" s="1">
        <v>44.0</v>
      </c>
      <c r="H66" s="3" t="str">
        <f>IFERROR(__xludf.DUMMYFUNCTION("GOOGLETRANSLATE(B66, ""EN"", ""JA"")"),"腸内微生物叢と肥満")</f>
        <v>腸内微生物叢と肥満</v>
      </c>
    </row>
    <row r="67">
      <c r="A67" s="1" t="s">
        <v>244</v>
      </c>
      <c r="B67" s="1" t="s">
        <v>245</v>
      </c>
      <c r="C67" s="1">
        <v>261.0</v>
      </c>
      <c r="D67" s="1">
        <v>2017.0</v>
      </c>
      <c r="E67" s="1" t="s">
        <v>246</v>
      </c>
      <c r="F67" s="2" t="s">
        <v>247</v>
      </c>
      <c r="G67" s="1">
        <v>44.0</v>
      </c>
      <c r="H67" s="3" t="str">
        <f>IFERROR(__xludf.DUMMYFUNCTION("GOOGLETRANSLATE(B67, ""EN"", ""JA"")"),"高血圧における腸内微生物叢の変化")</f>
        <v>高血圧における腸内微生物叢の変化</v>
      </c>
    </row>
    <row r="68">
      <c r="A68" s="1" t="s">
        <v>248</v>
      </c>
      <c r="B68" s="1" t="s">
        <v>249</v>
      </c>
      <c r="C68" s="1">
        <v>218.0</v>
      </c>
      <c r="D68" s="1">
        <v>2018.0</v>
      </c>
      <c r="E68" s="1" t="s">
        <v>250</v>
      </c>
      <c r="F68" s="2" t="s">
        <v>251</v>
      </c>
      <c r="G68" s="1">
        <v>44.0</v>
      </c>
      <c r="H68" s="3" t="str">
        <f>IFERROR(__xludf.DUMMYFUNCTION("GOOGLETRANSLATE(B68, ""EN"", ""JA"")"),"腸内ミクロビオームとうつ病：私たちが知っていることと私たちが知る必要があること")</f>
        <v>腸内ミクロビオームとうつ病：私たちが知っていることと私たちが知る必要があること</v>
      </c>
    </row>
    <row r="69">
      <c r="A69" s="1" t="s">
        <v>252</v>
      </c>
      <c r="B69" s="1" t="s">
        <v>253</v>
      </c>
      <c r="C69" s="1">
        <v>164.0</v>
      </c>
      <c r="D69" s="1">
        <v>2019.0</v>
      </c>
      <c r="E69" s="1" t="s">
        <v>254</v>
      </c>
      <c r="F69" s="2" t="s">
        <v>255</v>
      </c>
      <c r="G69" s="1">
        <v>41.0</v>
      </c>
      <c r="H69" s="3" t="str">
        <f>IFERROR(__xludf.DUMMYFUNCTION("GOOGLETRANSLATE(B69, ""EN"", ""JA"")"),"乳児腸内微生物叢の時間的発達")</f>
        <v>乳児腸内微生物叢の時間的発達</v>
      </c>
    </row>
    <row r="70">
      <c r="A70" s="1" t="s">
        <v>256</v>
      </c>
      <c r="B70" s="1" t="s">
        <v>257</v>
      </c>
      <c r="C70" s="1">
        <v>322.0</v>
      </c>
      <c r="D70" s="1">
        <v>2015.0</v>
      </c>
      <c r="E70" s="1" t="s">
        <v>258</v>
      </c>
      <c r="F70" s="2" t="s">
        <v>259</v>
      </c>
      <c r="G70" s="1">
        <v>40.0</v>
      </c>
      <c r="H70" s="3" t="str">
        <f>IFERROR(__xludf.DUMMYFUNCTION("GOOGLETRANSLATE(B70, ""EN"", ""JA"")"),"腸内マイクロビオーム：私たちがしていて、知らないこと")</f>
        <v>腸内マイクロビオーム：私たちがしていて、知らないこと</v>
      </c>
    </row>
    <row r="71">
      <c r="A71" s="1" t="s">
        <v>260</v>
      </c>
      <c r="B71" s="1" t="s">
        <v>261</v>
      </c>
      <c r="C71" s="1">
        <v>324.0</v>
      </c>
      <c r="D71" s="1">
        <v>2015.0</v>
      </c>
      <c r="E71" s="1" t="s">
        <v>262</v>
      </c>
      <c r="F71" s="2" t="s">
        <v>263</v>
      </c>
      <c r="G71" s="1">
        <v>40.0</v>
      </c>
      <c r="H71" s="3" t="str">
        <f>IFERROR(__xludf.DUMMYFUNCTION("GOOGLETRANSLATE(B71, ""EN"", ""JA"")"),"健康な思春期の小児腸内微生物叢の構造と機能")</f>
        <v>健康な思春期の小児腸内微生物叢の構造と機能</v>
      </c>
    </row>
    <row r="72">
      <c r="A72" s="1" t="s">
        <v>264</v>
      </c>
      <c r="B72" s="1" t="s">
        <v>265</v>
      </c>
      <c r="C72" s="1">
        <v>305.0</v>
      </c>
      <c r="D72" s="1">
        <v>2015.0</v>
      </c>
      <c r="E72" s="1" t="s">
        <v>266</v>
      </c>
      <c r="F72" s="2" t="s">
        <v>267</v>
      </c>
      <c r="G72" s="1">
        <v>38.0</v>
      </c>
      <c r="H72" s="3" t="str">
        <f>IFERROR(__xludf.DUMMYFUNCTION("GOOGLETRANSLATE(B72, ""EN"", ""JA"")"),"ヒト新生児腸内微生物叢：簡単なレビュー")</f>
        <v>ヒト新生児腸内微生物叢：簡単なレビュー</v>
      </c>
    </row>
    <row r="73">
      <c r="A73" s="1" t="s">
        <v>268</v>
      </c>
      <c r="B73" s="1" t="s">
        <v>269</v>
      </c>
      <c r="C73" s="1">
        <v>452.0</v>
      </c>
      <c r="D73" s="1">
        <v>2011.0</v>
      </c>
      <c r="E73" s="1" t="s">
        <v>184</v>
      </c>
      <c r="F73" s="2" t="s">
        <v>270</v>
      </c>
      <c r="G73" s="1">
        <v>38.0</v>
      </c>
      <c r="H73" s="3" t="str">
        <f>IFERROR(__xludf.DUMMYFUNCTION("GOOGLETRANSLATE(B73, ""EN"", ""JA"")"),"治療標的としての腸内微生物叢")</f>
        <v>治療標的としての腸内微生物叢</v>
      </c>
    </row>
    <row r="74">
      <c r="A74" s="1" t="s">
        <v>271</v>
      </c>
      <c r="B74" s="1" t="s">
        <v>272</v>
      </c>
      <c r="C74" s="1">
        <v>225.0</v>
      </c>
      <c r="D74" s="1">
        <v>2017.0</v>
      </c>
      <c r="E74" s="1" t="s">
        <v>273</v>
      </c>
      <c r="F74" s="2" t="s">
        <v>274</v>
      </c>
      <c r="G74" s="1">
        <v>38.0</v>
      </c>
      <c r="H74" s="3" t="str">
        <f>IFERROR(__xludf.DUMMYFUNCTION("GOOGLETRANSLATE(B74, ""EN"", ""JA"")"),"宿主の遺伝学と腸内微生物叢：課題と視点")</f>
        <v>宿主の遺伝学と腸内微生物叢：課題と視点</v>
      </c>
    </row>
    <row r="75">
      <c r="A75" s="1" t="s">
        <v>275</v>
      </c>
      <c r="B75" s="1" t="s">
        <v>276</v>
      </c>
      <c r="C75" s="1">
        <v>378.0</v>
      </c>
      <c r="D75" s="1">
        <v>2012.0</v>
      </c>
      <c r="E75" s="1" t="s">
        <v>277</v>
      </c>
      <c r="F75" s="2" t="s">
        <v>278</v>
      </c>
      <c r="G75" s="1">
        <v>34.0</v>
      </c>
      <c r="H75" s="3" t="str">
        <f>IFERROR(__xludf.DUMMYFUNCTION("GOOGLETRANSLATE(B75, ""EN"", ""JA"")"),"人間の腸内微生物叢：現在の知識、課題、将来の方向")</f>
        <v>人間の腸内微生物叢：現在の知識、課題、将来の方向</v>
      </c>
    </row>
    <row r="76">
      <c r="A76" s="1" t="s">
        <v>279</v>
      </c>
      <c r="B76" s="1" t="s">
        <v>280</v>
      </c>
      <c r="C76" s="1">
        <v>200.0</v>
      </c>
      <c r="D76" s="1">
        <v>2017.0</v>
      </c>
      <c r="E76" s="1" t="s">
        <v>281</v>
      </c>
      <c r="F76" s="2" t="s">
        <v>282</v>
      </c>
      <c r="G76" s="1">
        <v>33.0</v>
      </c>
      <c r="H76" s="3" t="str">
        <f>IFERROR(__xludf.DUMMYFUNCTION("GOOGLETRANSLATE(B76, ""EN"", ""JA"")"),"高齢者の栄養と腸内微生物叢")</f>
        <v>高齢者の栄養と腸内微生物叢</v>
      </c>
    </row>
    <row r="77">
      <c r="A77" s="1" t="s">
        <v>283</v>
      </c>
      <c r="B77" s="1" t="s">
        <v>284</v>
      </c>
      <c r="C77" s="1">
        <v>332.0</v>
      </c>
      <c r="D77" s="1">
        <v>2013.0</v>
      </c>
      <c r="E77" s="1" t="s">
        <v>285</v>
      </c>
      <c r="F77" s="2" t="s">
        <v>286</v>
      </c>
      <c r="G77" s="1">
        <v>33.0</v>
      </c>
      <c r="H77" s="3" t="str">
        <f>IFERROR(__xludf.DUMMYFUNCTION("GOOGLETRANSLATE(B77, ""EN"", ""JA"")"),"腸内微生物叢：自閉症研究の新しいフロンティア")</f>
        <v>腸内微生物叢：自閉症研究の新しいフロンティア</v>
      </c>
    </row>
    <row r="78">
      <c r="A78" s="1" t="s">
        <v>287</v>
      </c>
      <c r="B78" s="1" t="s">
        <v>288</v>
      </c>
      <c r="C78" s="1">
        <v>193.0</v>
      </c>
      <c r="D78" s="1">
        <v>2017.0</v>
      </c>
      <c r="E78" s="1" t="s">
        <v>289</v>
      </c>
      <c r="F78" s="2" t="s">
        <v>290</v>
      </c>
      <c r="G78" s="1">
        <v>32.0</v>
      </c>
      <c r="H78" s="3" t="str">
        <f>IFERROR(__xludf.DUMMYFUNCTION("GOOGLETRANSLATE(B78, ""EN"", ""JA"")"),"慢性腎臓病における腸内微生物叢：課題と機会")</f>
        <v>慢性腎臓病における腸内微生物叢：課題と機会</v>
      </c>
    </row>
    <row r="79">
      <c r="A79" s="1" t="s">
        <v>291</v>
      </c>
      <c r="B79" s="1" t="s">
        <v>292</v>
      </c>
      <c r="C79" s="1">
        <v>266.0</v>
      </c>
      <c r="D79" s="1">
        <v>2014.0</v>
      </c>
      <c r="E79" s="1" t="s">
        <v>293</v>
      </c>
      <c r="F79" s="2" t="s">
        <v>294</v>
      </c>
      <c r="G79" s="1">
        <v>30.0</v>
      </c>
      <c r="H79" s="3" t="str">
        <f>IFERROR(__xludf.DUMMYFUNCTION("GOOGLETRANSLATE(B79, ""EN"", ""JA"")"),"便秘患者の腸内微生物叢の構造変化")</f>
        <v>便秘患者の腸内微生物叢の構造変化</v>
      </c>
    </row>
    <row r="80">
      <c r="A80" s="1" t="s">
        <v>295</v>
      </c>
      <c r="B80" s="1" t="s">
        <v>296</v>
      </c>
      <c r="C80" s="1">
        <v>162.0</v>
      </c>
      <c r="D80" s="1">
        <v>2017.0</v>
      </c>
      <c r="E80" s="1" t="s">
        <v>297</v>
      </c>
      <c r="F80" s="2" t="s">
        <v>298</v>
      </c>
      <c r="G80" s="1">
        <v>27.0</v>
      </c>
      <c r="H80" s="3" t="str">
        <f>IFERROR(__xludf.DUMMYFUNCTION("GOOGLETRANSLATE(B80, ""EN"", ""JA"")"),"腸内微生物叢と抗生物質")</f>
        <v>腸内微生物叢と抗生物質</v>
      </c>
    </row>
    <row r="81">
      <c r="A81" s="1" t="s">
        <v>299</v>
      </c>
      <c r="B81" s="1" t="s">
        <v>300</v>
      </c>
      <c r="C81" s="1">
        <v>181.0</v>
      </c>
      <c r="D81" s="1">
        <v>2016.0</v>
      </c>
      <c r="E81" s="1" t="s">
        <v>301</v>
      </c>
      <c r="F81" s="2" t="s">
        <v>302</v>
      </c>
      <c r="G81" s="1">
        <v>26.0</v>
      </c>
      <c r="H81" s="3" t="str">
        <f>IFERROR(__xludf.DUMMYFUNCTION("GOOGLETRANSLATE(B81, ""EN"", ""JA"")"),"腸内微生物叢とメタボリックシンドローム")</f>
        <v>腸内微生物叢とメタボリックシンドローム</v>
      </c>
    </row>
    <row r="82">
      <c r="A82" s="1" t="s">
        <v>303</v>
      </c>
      <c r="B82" s="1" t="s">
        <v>304</v>
      </c>
      <c r="C82" s="1">
        <v>154.0</v>
      </c>
      <c r="D82" s="1">
        <v>2017.0</v>
      </c>
      <c r="E82" s="1" t="s">
        <v>305</v>
      </c>
      <c r="F82" s="2" t="s">
        <v>306</v>
      </c>
      <c r="G82" s="1">
        <v>26.0</v>
      </c>
      <c r="H82" s="3" t="str">
        <f>IFERROR(__xludf.DUMMYFUNCTION("GOOGLETRANSLATE(B82, ""EN"", ""JA"")"),"大規模な腸内マイクロビオーム研究のための実用的な考慮事項")</f>
        <v>大規模な腸内マイクロビオーム研究のための実用的な考慮事項</v>
      </c>
    </row>
    <row r="83">
      <c r="A83" s="1" t="s">
        <v>307</v>
      </c>
      <c r="B83" s="1" t="s">
        <v>308</v>
      </c>
      <c r="C83" s="1">
        <v>185.0</v>
      </c>
      <c r="D83" s="1">
        <v>2016.0</v>
      </c>
      <c r="E83" s="1" t="s">
        <v>57</v>
      </c>
      <c r="F83" s="2" t="s">
        <v>309</v>
      </c>
      <c r="G83" s="1">
        <v>26.0</v>
      </c>
      <c r="H83" s="3" t="str">
        <f>IFERROR(__xludf.DUMMYFUNCTION("GOOGLETRANSLATE(B83, ""EN"", ""JA"")"),"脳についての腸（微生物叢）の感覚")</f>
        <v>脳についての腸（微生物叢）の感覚</v>
      </c>
    </row>
    <row r="84">
      <c r="A84" s="1" t="s">
        <v>310</v>
      </c>
      <c r="B84" s="1" t="s">
        <v>311</v>
      </c>
      <c r="C84" s="1">
        <v>98.0</v>
      </c>
      <c r="D84" s="1">
        <v>2019.0</v>
      </c>
      <c r="E84" s="1" t="s">
        <v>246</v>
      </c>
      <c r="F84" s="2" t="s">
        <v>312</v>
      </c>
      <c r="G84" s="1">
        <v>24.0</v>
      </c>
      <c r="H84" s="3" t="str">
        <f>IFERROR(__xludf.DUMMYFUNCTION("GOOGLETRANSLATE(B84, ""EN"", ""JA"")"),"肺がんにおける腸内微生物叢の異常症")</f>
        <v>肺がんにおける腸内微生物叢の異常症</v>
      </c>
    </row>
    <row r="85">
      <c r="A85" s="1" t="s">
        <v>313</v>
      </c>
      <c r="B85" s="1" t="s">
        <v>314</v>
      </c>
      <c r="C85" s="1">
        <v>92.0</v>
      </c>
      <c r="D85" s="1">
        <v>2019.0</v>
      </c>
      <c r="E85" s="1" t="s">
        <v>315</v>
      </c>
      <c r="F85" s="2" t="s">
        <v>316</v>
      </c>
      <c r="G85" s="1">
        <v>23.0</v>
      </c>
      <c r="H85" s="3" t="str">
        <f>IFERROR(__xludf.DUMMYFUNCTION("GOOGLETRANSLATE(B85, ""EN"", ""JA"")"),"土壌は人間の腸内微生物叢に寄与していますか？")</f>
        <v>土壌は人間の腸内微生物叢に寄与していますか？</v>
      </c>
    </row>
    <row r="86">
      <c r="A86" s="1" t="s">
        <v>317</v>
      </c>
      <c r="B86" s="1" t="s">
        <v>318</v>
      </c>
      <c r="C86" s="1">
        <v>158.0</v>
      </c>
      <c r="D86" s="1">
        <v>2016.0</v>
      </c>
      <c r="E86" s="1" t="s">
        <v>144</v>
      </c>
      <c r="F86" s="2" t="s">
        <v>319</v>
      </c>
      <c r="G86" s="1">
        <v>23.0</v>
      </c>
      <c r="H86" s="3" t="str">
        <f>IFERROR(__xludf.DUMMYFUNCTION("GOOGLETRANSLATE(B86, ""EN"", ""JA"")"),"腸内マイクロバイオーム研究のための新しい技術")</f>
        <v>腸内マイクロバイオーム研究のための新しい技術</v>
      </c>
    </row>
    <row r="87">
      <c r="A87" s="1" t="s">
        <v>320</v>
      </c>
      <c r="B87" s="1" t="s">
        <v>321</v>
      </c>
      <c r="C87" s="1">
        <v>92.0</v>
      </c>
      <c r="D87" s="1">
        <v>2019.0</v>
      </c>
      <c r="E87" s="1" t="s">
        <v>322</v>
      </c>
      <c r="F87" s="2" t="s">
        <v>323</v>
      </c>
      <c r="G87" s="1">
        <v>23.0</v>
      </c>
      <c r="H87" s="3" t="str">
        <f>IFERROR(__xludf.DUMMYFUNCTION("GOOGLETRANSLATE(B87, ""EN"", ""JA"")"),"IBD治療の標的としての腸内微生物叢：私たちはまだそこにいますか？")</f>
        <v>IBD治療の標的としての腸内微生物叢：私たちはまだそこにいますか？</v>
      </c>
    </row>
    <row r="88">
      <c r="A88" s="1" t="s">
        <v>324</v>
      </c>
      <c r="B88" s="1" t="s">
        <v>325</v>
      </c>
      <c r="C88" s="1">
        <v>133.0</v>
      </c>
      <c r="D88" s="1">
        <v>2017.0</v>
      </c>
      <c r="E88" s="1" t="s">
        <v>326</v>
      </c>
      <c r="F88" s="2" t="s">
        <v>327</v>
      </c>
      <c r="G88" s="1">
        <v>22.0</v>
      </c>
      <c r="H88" s="3" t="str">
        <f>IFERROR(__xludf.DUMMYFUNCTION("GOOGLETRANSLATE(B88, ""EN"", ""JA"")"),"腸内微生物叢と心血管疾患におけるその役割")</f>
        <v>腸内微生物叢と心血管疾患におけるその役割</v>
      </c>
    </row>
    <row r="89">
      <c r="A89" s="1" t="s">
        <v>328</v>
      </c>
      <c r="B89" s="1" t="s">
        <v>329</v>
      </c>
      <c r="C89" s="1">
        <v>127.0</v>
      </c>
      <c r="D89" s="1">
        <v>2017.0</v>
      </c>
      <c r="E89" s="1" t="s">
        <v>330</v>
      </c>
      <c r="F89" s="2" t="s">
        <v>331</v>
      </c>
      <c r="G89" s="1">
        <v>21.0</v>
      </c>
      <c r="H89" s="3" t="str">
        <f>IFERROR(__xludf.DUMMYFUNCTION("GOOGLETRANSLATE(B89, ""EN"", ""JA"")"),"腸内微生物叢と心血管疾患におけるその役割")</f>
        <v>腸内微生物叢と心血管疾患におけるその役割</v>
      </c>
    </row>
    <row r="90">
      <c r="A90" s="1" t="s">
        <v>332</v>
      </c>
      <c r="B90" s="1" t="s">
        <v>333</v>
      </c>
      <c r="C90" s="1">
        <v>106.0</v>
      </c>
      <c r="D90" s="1">
        <v>2018.0</v>
      </c>
      <c r="E90" s="1" t="s">
        <v>334</v>
      </c>
      <c r="F90" s="2" t="s">
        <v>335</v>
      </c>
      <c r="G90" s="1">
        <v>21.0</v>
      </c>
      <c r="H90" s="3" t="str">
        <f>IFERROR(__xludf.DUMMYFUNCTION("GOOGLETRANSLATE(B90, ""EN"", ""JA"")"),"ヒト腸内微生物叢の代謝のモデリング")</f>
        <v>ヒト腸内微生物叢の代謝のモデリング</v>
      </c>
    </row>
    <row r="91">
      <c r="A91" s="1" t="s">
        <v>336</v>
      </c>
      <c r="B91" s="1" t="s">
        <v>337</v>
      </c>
      <c r="C91" s="1">
        <v>174.0</v>
      </c>
      <c r="D91" s="1">
        <v>2014.0</v>
      </c>
      <c r="E91" s="1" t="s">
        <v>338</v>
      </c>
      <c r="F91" s="2" t="s">
        <v>339</v>
      </c>
      <c r="G91" s="1">
        <v>19.0</v>
      </c>
      <c r="H91" s="3" t="str">
        <f>IFERROR(__xludf.DUMMYFUNCTION("GOOGLETRANSLATE(B91, ""EN"", ""JA"")"),"腸内微生物叢と代謝疾患")</f>
        <v>腸内微生物叢と代謝疾患</v>
      </c>
    </row>
    <row r="92">
      <c r="A92" s="1" t="s">
        <v>340</v>
      </c>
      <c r="B92" s="1" t="s">
        <v>341</v>
      </c>
      <c r="C92" s="1">
        <v>191.0</v>
      </c>
      <c r="D92" s="1">
        <v>2013.0</v>
      </c>
      <c r="E92" s="1" t="s">
        <v>342</v>
      </c>
      <c r="F92" s="2" t="s">
        <v>343</v>
      </c>
      <c r="G92" s="1">
        <v>19.0</v>
      </c>
      <c r="H92" s="3" t="str">
        <f>IFERROR(__xludf.DUMMYFUNCTION("GOOGLETRANSLATE(B92, ""EN"", ""JA"")"),"腸内微生物叢の実験モデル")</f>
        <v>腸内微生物叢の実験モデル</v>
      </c>
    </row>
    <row r="93">
      <c r="A93" s="1" t="s">
        <v>344</v>
      </c>
      <c r="B93" s="1" t="s">
        <v>345</v>
      </c>
      <c r="C93" s="1">
        <v>154.0</v>
      </c>
      <c r="D93" s="1">
        <v>2013.0</v>
      </c>
      <c r="E93" s="1" t="s">
        <v>346</v>
      </c>
      <c r="F93" s="2" t="s">
        <v>347</v>
      </c>
      <c r="G93" s="1">
        <v>15.0</v>
      </c>
      <c r="H93" s="3" t="str">
        <f>IFERROR(__xludf.DUMMYFUNCTION("GOOGLETRANSLATE(B93, ""EN"", ""JA"")"),"ヒト腸内微生物叢の分析と病気との関連")</f>
        <v>ヒト腸内微生物叢の分析と病気との関連</v>
      </c>
    </row>
    <row r="94">
      <c r="A94" s="1" t="s">
        <v>348</v>
      </c>
      <c r="B94" s="1" t="s">
        <v>349</v>
      </c>
      <c r="C94" s="1">
        <v>73.0</v>
      </c>
      <c r="D94" s="1">
        <v>2018.0</v>
      </c>
      <c r="E94" s="1" t="s">
        <v>350</v>
      </c>
      <c r="F94" s="2" t="s">
        <v>351</v>
      </c>
      <c r="G94" s="1">
        <v>15.0</v>
      </c>
      <c r="H94" s="3" t="str">
        <f>IFERROR(__xludf.DUMMYFUNCTION("GOOGLETRANSLATE(B94, ""EN"", ""JA"")"),"腸内微生物叢および心血管疾患")</f>
        <v>腸内微生物叢および心血管疾患</v>
      </c>
    </row>
    <row r="95">
      <c r="A95" s="1" t="s">
        <v>352</v>
      </c>
      <c r="B95" s="1" t="s">
        <v>353</v>
      </c>
      <c r="C95" s="1">
        <v>185.0</v>
      </c>
      <c r="D95" s="1">
        <v>2008.0</v>
      </c>
      <c r="E95" s="1" t="s">
        <v>354</v>
      </c>
      <c r="F95" s="2" t="s">
        <v>355</v>
      </c>
      <c r="G95" s="1">
        <v>12.0</v>
      </c>
      <c r="H95" s="3" t="str">
        <f>IFERROR(__xludf.DUMMYFUNCTION("GOOGLETRANSLATE(B95, ""EN"", ""JA"")"),"人間の腸内微生物叢：将来のヘルスケアへの影響")</f>
        <v>人間の腸内微生物叢：将来のヘルスケアへの影響</v>
      </c>
    </row>
    <row r="96">
      <c r="A96" s="1" t="s">
        <v>356</v>
      </c>
      <c r="B96" s="1" t="s">
        <v>357</v>
      </c>
      <c r="C96" s="1">
        <v>68.0</v>
      </c>
      <c r="D96" s="1">
        <v>2017.0</v>
      </c>
      <c r="E96" s="1" t="s">
        <v>358</v>
      </c>
      <c r="F96" s="2" t="s">
        <v>359</v>
      </c>
      <c r="G96" s="1">
        <v>11.0</v>
      </c>
      <c r="H96" s="3" t="str">
        <f>IFERROR(__xludf.DUMMYFUNCTION("GOOGLETRANSLATE(B96, ""EN"", ""JA"")"),"腸内微生物叢")</f>
        <v>腸内微生物叢</v>
      </c>
    </row>
    <row r="97">
      <c r="A97" s="1" t="s">
        <v>360</v>
      </c>
      <c r="B97" s="1" t="s">
        <v>361</v>
      </c>
      <c r="C97" s="1">
        <v>30.0</v>
      </c>
      <c r="D97" s="1">
        <v>2020.0</v>
      </c>
      <c r="E97" s="1" t="s">
        <v>9</v>
      </c>
      <c r="F97" s="2" t="s">
        <v>362</v>
      </c>
      <c r="G97" s="1">
        <v>10.0</v>
      </c>
      <c r="H97" s="3" t="str">
        <f>IFERROR(__xludf.DUMMYFUNCTION("GOOGLETRANSLATE(B97, ""EN"", ""JA"")"),"腸内微生物叢。")</f>
        <v>腸内微生物叢。</v>
      </c>
    </row>
    <row r="98">
      <c r="A98" s="1" t="s">
        <v>21</v>
      </c>
      <c r="B98" s="1" t="s">
        <v>363</v>
      </c>
      <c r="C98" s="1">
        <v>85.0</v>
      </c>
      <c r="D98" s="1">
        <v>2014.0</v>
      </c>
      <c r="E98" s="1" t="s">
        <v>9</v>
      </c>
      <c r="F98" s="2" t="s">
        <v>364</v>
      </c>
      <c r="G98" s="1">
        <v>9.0</v>
      </c>
      <c r="H98" s="3" t="str">
        <f>IFERROR(__xludf.DUMMYFUNCTION("GOOGLETRANSLATE(B98, ""EN"", ""JA"")"),"補遺：ヒト腸内微生物叢の腸型")</f>
        <v>補遺：ヒト腸内微生物叢の腸型</v>
      </c>
    </row>
    <row r="99">
      <c r="A99" s="1" t="s">
        <v>365</v>
      </c>
      <c r="B99" s="1" t="s">
        <v>366</v>
      </c>
      <c r="C99" s="1">
        <v>31.0</v>
      </c>
      <c r="D99" s="1">
        <v>2019.0</v>
      </c>
      <c r="E99" s="1" t="s">
        <v>367</v>
      </c>
      <c r="F99" s="2" t="s">
        <v>368</v>
      </c>
      <c r="G99" s="1">
        <v>8.0</v>
      </c>
      <c r="H99" s="3" t="str">
        <f>IFERROR(__xludf.DUMMYFUNCTION("GOOGLETRANSLATE(B99, ""EN"", ""JA"")"),"腸内微生物叢")</f>
        <v>腸内微生物叢</v>
      </c>
    </row>
    <row r="100">
      <c r="A100" s="1" t="s">
        <v>369</v>
      </c>
      <c r="B100" s="1" t="s">
        <v>370</v>
      </c>
      <c r="C100" s="1">
        <v>89.0</v>
      </c>
      <c r="D100" s="1">
        <v>2011.0</v>
      </c>
      <c r="E100" s="1" t="s">
        <v>371</v>
      </c>
      <c r="F100" s="2" t="s">
        <v>372</v>
      </c>
      <c r="G100" s="1">
        <v>7.0</v>
      </c>
      <c r="H100" s="3" t="str">
        <f>IFERROR(__xludf.DUMMYFUNCTION("GOOGLETRANSLATE(B100, ""EN"", ""JA"")"),"ヒト腸内微生物叢：私たちはエンテロタイプですか？")</f>
        <v>ヒト腸内微生物叢：私たちはエンテロタイプですか？</v>
      </c>
    </row>
    <row r="101">
      <c r="A101" s="1" t="s">
        <v>373</v>
      </c>
      <c r="B101" s="1" t="s">
        <v>374</v>
      </c>
      <c r="C101" s="1">
        <v>1772.0</v>
      </c>
      <c r="D101" s="1">
        <v>0.0</v>
      </c>
      <c r="F101" s="2" t="s">
        <v>375</v>
      </c>
      <c r="G101" s="1">
        <v>1.0</v>
      </c>
      <c r="H101" s="3" t="str">
        <f>IFERROR(__xludf.DUMMYFUNCTION("GOOGLETRANSLATE(B101, ""EN"", ""JA"")"),"腸内微生物叢に対する食事の影響と人間の健康への影響")</f>
        <v>腸内微生物叢に対する食事の影響と人間の健康への影響</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s>
  <drawing r:id="rId101"/>
</worksheet>
</file>